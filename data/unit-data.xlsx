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22056" windowHeight="9264"/>
  </bookViews>
  <sheets>
    <sheet name="unit_rules" sheetId="1" r:id="rId1"/>
    <sheet name="dong_meta" sheetId="2" r:id="rId2"/>
    <sheet name="unit_exceptions" sheetId="3" r:id="rId3"/>
  </sheets>
  <calcPr calcId="145621"/>
</workbook>
</file>

<file path=xl/calcChain.xml><?xml version="1.0" encoding="utf-8"?>
<calcChain xmlns="http://schemas.openxmlformats.org/spreadsheetml/2006/main">
  <c r="M148" i="1" l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3" i="1"/>
  <c r="M12" i="1"/>
  <c r="M11" i="1"/>
  <c r="M10" i="1"/>
  <c r="M9" i="1"/>
  <c r="M8" i="1"/>
  <c r="M7" i="1"/>
  <c r="M6" i="1"/>
  <c r="M5" i="1"/>
  <c r="M4" i="1"/>
  <c r="L148" i="1" l="1"/>
  <c r="N148" i="1" s="1"/>
  <c r="L147" i="1"/>
  <c r="N147" i="1" s="1"/>
  <c r="N146" i="1"/>
  <c r="L146" i="1"/>
  <c r="L145" i="1"/>
  <c r="N145" i="1" s="1"/>
  <c r="L144" i="1"/>
  <c r="N144" i="1" s="1"/>
  <c r="L143" i="1"/>
  <c r="N143" i="1" s="1"/>
  <c r="L142" i="1"/>
  <c r="N142" i="1" s="1"/>
  <c r="N141" i="1"/>
  <c r="L141" i="1"/>
  <c r="L140" i="1"/>
  <c r="N140" i="1" s="1"/>
  <c r="L139" i="1"/>
  <c r="N139" i="1" s="1"/>
  <c r="N138" i="1"/>
  <c r="L138" i="1"/>
  <c r="L137" i="1"/>
  <c r="N137" i="1" s="1"/>
  <c r="L136" i="1"/>
  <c r="N136" i="1" s="1"/>
  <c r="L135" i="1"/>
  <c r="N135" i="1" s="1"/>
  <c r="L134" i="1"/>
  <c r="N134" i="1" s="1"/>
  <c r="L133" i="1"/>
  <c r="N133" i="1" s="1"/>
  <c r="L132" i="1"/>
  <c r="N132" i="1" s="1"/>
  <c r="L131" i="1"/>
  <c r="N131" i="1" s="1"/>
  <c r="L130" i="1"/>
  <c r="N130" i="1" s="1"/>
  <c r="L129" i="1"/>
  <c r="N129" i="1" s="1"/>
  <c r="L128" i="1"/>
  <c r="N128" i="1" s="1"/>
  <c r="L127" i="1"/>
  <c r="N126" i="1"/>
  <c r="L126" i="1"/>
  <c r="N125" i="1"/>
  <c r="L125" i="1"/>
  <c r="L124" i="1"/>
  <c r="N124" i="1" s="1"/>
  <c r="N123" i="1"/>
  <c r="L123" i="1"/>
  <c r="L122" i="1"/>
  <c r="N122" i="1" s="1"/>
  <c r="L121" i="1"/>
  <c r="N121" i="1" s="1"/>
  <c r="L120" i="1"/>
  <c r="N120" i="1" s="1"/>
  <c r="L119" i="1"/>
  <c r="N118" i="1"/>
  <c r="L118" i="1"/>
  <c r="N117" i="1"/>
  <c r="L117" i="1"/>
  <c r="L115" i="1"/>
  <c r="N115" i="1" s="1"/>
  <c r="N114" i="1"/>
  <c r="L114" i="1"/>
  <c r="L113" i="1"/>
  <c r="N113" i="1" s="1"/>
  <c r="L112" i="1"/>
  <c r="N112" i="1" s="1"/>
  <c r="N111" i="1"/>
  <c r="L111" i="1"/>
  <c r="L110" i="1"/>
  <c r="L109" i="1"/>
  <c r="N109" i="1" s="1"/>
  <c r="L108" i="1"/>
  <c r="N108" i="1" s="1"/>
  <c r="L107" i="1"/>
  <c r="N107" i="1" s="1"/>
  <c r="L106" i="1"/>
  <c r="N106" i="1" s="1"/>
  <c r="L105" i="1"/>
  <c r="N105" i="1" s="1"/>
  <c r="L104" i="1"/>
  <c r="N104" i="1" s="1"/>
  <c r="N103" i="1"/>
  <c r="L103" i="1"/>
  <c r="L102" i="1"/>
  <c r="N102" i="1" s="1"/>
  <c r="L101" i="1"/>
  <c r="N101" i="1" s="1"/>
  <c r="L100" i="1"/>
  <c r="N100" i="1" s="1"/>
  <c r="L99" i="1"/>
  <c r="N99" i="1" s="1"/>
  <c r="N98" i="1"/>
  <c r="L98" i="1"/>
  <c r="L97" i="1"/>
  <c r="N97" i="1" s="1"/>
  <c r="L96" i="1"/>
  <c r="N96" i="1"/>
  <c r="L95" i="1"/>
  <c r="N95" i="1" s="1"/>
  <c r="N94" i="1"/>
  <c r="L94" i="1"/>
  <c r="N93" i="1"/>
  <c r="L93" i="1"/>
  <c r="L92" i="1"/>
  <c r="N92" i="1" s="1"/>
  <c r="N91" i="1"/>
  <c r="L91" i="1"/>
  <c r="L90" i="1"/>
  <c r="N90" i="1" s="1"/>
  <c r="L89" i="1"/>
  <c r="N88" i="1"/>
  <c r="L88" i="1"/>
  <c r="L87" i="1"/>
  <c r="N87" i="1" s="1"/>
  <c r="N86" i="1"/>
  <c r="L86" i="1"/>
  <c r="N85" i="1"/>
  <c r="L85" i="1"/>
  <c r="L84" i="1"/>
  <c r="N84" i="1" s="1"/>
  <c r="L83" i="1"/>
  <c r="N83" i="1" s="1"/>
  <c r="L82" i="1"/>
  <c r="N82" i="1" s="1"/>
  <c r="N81" i="1"/>
  <c r="L81" i="1"/>
  <c r="N80" i="1"/>
  <c r="L80" i="1"/>
  <c r="L79" i="1"/>
  <c r="N79" i="1" s="1"/>
  <c r="L78" i="1"/>
  <c r="N78" i="1" s="1"/>
  <c r="N77" i="1"/>
  <c r="L77" i="1"/>
  <c r="N76" i="1"/>
  <c r="L76" i="1"/>
  <c r="L75" i="1"/>
  <c r="N75" i="1" s="1"/>
  <c r="L74" i="1"/>
  <c r="N74" i="1" s="1"/>
  <c r="N73" i="1"/>
  <c r="L73" i="1"/>
  <c r="L72" i="1"/>
  <c r="N72" i="1" s="1"/>
  <c r="L71" i="1"/>
  <c r="N71" i="1" s="1"/>
  <c r="L70" i="1"/>
  <c r="N70" i="1" s="1"/>
  <c r="N69" i="1"/>
  <c r="L69" i="1"/>
  <c r="N68" i="1"/>
  <c r="L68" i="1"/>
  <c r="L67" i="1"/>
  <c r="N67" i="1" s="1"/>
  <c r="L66" i="1"/>
  <c r="N66" i="1" s="1"/>
  <c r="N65" i="1"/>
  <c r="L65" i="1"/>
  <c r="N64" i="1"/>
  <c r="L64" i="1"/>
  <c r="L63" i="1"/>
  <c r="N63" i="1" s="1"/>
  <c r="L62" i="1"/>
  <c r="N62" i="1" s="1"/>
  <c r="N61" i="1"/>
  <c r="L61" i="1"/>
  <c r="N60" i="1"/>
  <c r="L60" i="1"/>
  <c r="L59" i="1"/>
  <c r="N59" i="1" s="1"/>
  <c r="L58" i="1"/>
  <c r="N58" i="1" s="1"/>
  <c r="N57" i="1"/>
  <c r="L57" i="1"/>
  <c r="N56" i="1"/>
  <c r="L56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N119" i="1" l="1"/>
  <c r="N127" i="1"/>
  <c r="N110" i="1"/>
  <c r="N89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N15" i="1" s="1"/>
  <c r="L13" i="1"/>
  <c r="N13" i="1" s="1"/>
  <c r="L12" i="1"/>
  <c r="N12" i="1" s="1"/>
  <c r="L11" i="1"/>
  <c r="N11" i="1" s="1"/>
  <c r="L10" i="1"/>
  <c r="N10" i="1" s="1"/>
  <c r="L9" i="1"/>
  <c r="N9" i="1" s="1"/>
  <c r="L8" i="1"/>
  <c r="N8" i="1" s="1"/>
  <c r="L7" i="1"/>
  <c r="N7" i="1" s="1"/>
  <c r="L6" i="1"/>
  <c r="N6" i="1" s="1"/>
  <c r="L5" i="1"/>
  <c r="N5" i="1" s="1"/>
  <c r="L4" i="1"/>
  <c r="N4" i="1" s="1"/>
</calcChain>
</file>

<file path=xl/sharedStrings.xml><?xml version="1.0" encoding="utf-8"?>
<sst xmlns="http://schemas.openxmlformats.org/spreadsheetml/2006/main" count="336" uniqueCount="39">
  <si>
    <t>dong</t>
    <phoneticPr fontId="1" type="noConversion"/>
  </si>
  <si>
    <t>ho</t>
    <phoneticPr fontId="1" type="noConversion"/>
  </si>
  <si>
    <t>type</t>
    <phoneticPr fontId="1" type="noConversion"/>
  </si>
  <si>
    <t>jeonse</t>
    <phoneticPr fontId="1" type="noConversion"/>
  </si>
  <si>
    <t>saleprice</t>
    <phoneticPr fontId="1" type="noConversion"/>
  </si>
  <si>
    <t>loan</t>
    <phoneticPr fontId="1" type="noConversion"/>
  </si>
  <si>
    <t>pricetext</t>
    <phoneticPr fontId="1" type="noConversion"/>
  </si>
  <si>
    <t>balance</t>
    <phoneticPr fontId="1" type="noConversion"/>
  </si>
  <si>
    <t>realcash</t>
    <phoneticPr fontId="1" type="noConversion"/>
  </si>
  <si>
    <t>normal</t>
    <phoneticPr fontId="1" type="noConversion"/>
  </si>
  <si>
    <t>84A</t>
    <phoneticPr fontId="1" type="noConversion"/>
  </si>
  <si>
    <t>일반분양 (기준층 기준 9억대)</t>
  </si>
  <si>
    <t>calc</t>
    <phoneticPr fontId="1" type="noConversion"/>
  </si>
  <si>
    <t>floorgroup</t>
    <phoneticPr fontId="1" type="noConversion"/>
  </si>
  <si>
    <t>6~16층</t>
    <phoneticPr fontId="1" type="noConversion"/>
  </si>
  <si>
    <t>전체</t>
    <phoneticPr fontId="1" type="noConversion"/>
  </si>
  <si>
    <t>contract_1</t>
    <phoneticPr fontId="1" type="noConversion"/>
  </si>
  <si>
    <t>contract_2</t>
    <phoneticPr fontId="1" type="noConversion"/>
  </si>
  <si>
    <t>contract2</t>
    <phoneticPr fontId="1" type="noConversion"/>
  </si>
  <si>
    <t>dong</t>
    <phoneticPr fontId="1" type="noConversion"/>
  </si>
  <si>
    <t>floor_min</t>
    <phoneticPr fontId="1" type="noConversion"/>
  </si>
  <si>
    <t>floor_max</t>
    <phoneticPr fontId="1" type="noConversion"/>
  </si>
  <si>
    <t>line_list</t>
    <phoneticPr fontId="1" type="noConversion"/>
  </si>
  <si>
    <t>dong</t>
    <phoneticPr fontId="1" type="noConversion"/>
  </si>
  <si>
    <t>ho</t>
    <phoneticPr fontId="1" type="noConversion"/>
  </si>
  <si>
    <t>status</t>
    <phoneticPr fontId="1" type="noConversion"/>
  </si>
  <si>
    <t>message</t>
    <phoneticPr fontId="1" type="noConversion"/>
  </si>
  <si>
    <t>blocked</t>
    <phoneticPr fontId="1" type="noConversion"/>
  </si>
  <si>
    <t>101동 1층 3호 라인은 부대시설입니다. 다른 호실을 입력해 주세요.</t>
    <phoneticPr fontId="1" type="noConversion"/>
  </si>
  <si>
    <t>105동 1층 2호 라인은 부대시설입니다. 다른 호실을 입력해 주세요.</t>
    <phoneticPr fontId="1" type="noConversion"/>
  </si>
  <si>
    <t>105동 2층 2호 라인은 부대시설입니다. 다른 호실을 입력해 주세요.</t>
    <phoneticPr fontId="1" type="noConversion"/>
  </si>
  <si>
    <t>styletype</t>
    <phoneticPr fontId="1" type="noConversion"/>
  </si>
  <si>
    <t>1,2,3</t>
    <phoneticPr fontId="1" type="noConversion"/>
  </si>
  <si>
    <t>1,2,3,4</t>
    <phoneticPr fontId="1" type="noConversion"/>
  </si>
  <si>
    <t>1,2</t>
    <phoneticPr fontId="1" type="noConversion"/>
  </si>
  <si>
    <t>calc</t>
    <phoneticPr fontId="1" type="noConversion"/>
  </si>
  <si>
    <t>84A</t>
    <phoneticPr fontId="1" type="noConversion"/>
  </si>
  <si>
    <t>normal</t>
    <phoneticPr fontId="1" type="noConversion"/>
  </si>
  <si>
    <t>6~16층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</si>
</sst>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"/>
  <sheetViews>
    <sheetView tabSelected="1" workbookViewId="0">
      <selection activeCell="N4" sqref="N4"/>
    </sheetView>
  </sheetViews>
  <sheetFormatPr defaultRowHeight="17.399999999999999" x14ac:dyDescent="0.4"/>
  <cols>
    <col min="3" max="3" width="8.69921875" bestFit="1" customWidth="1"/>
    <col min="4" max="4" width="10.09765625" bestFit="1" customWidth="1"/>
    <col min="5" max="5" width="26.296875" bestFit="1" customWidth="1"/>
    <col min="7" max="7" width="10.3984375" bestFit="1" customWidth="1"/>
    <col min="8" max="8" width="11.09765625" customWidth="1"/>
    <col min="9" max="10" width="9.3984375" bestFit="1" customWidth="1"/>
    <col min="11" max="11" width="9.3984375" customWidth="1"/>
    <col min="12" max="12" width="10.3984375" bestFit="1" customWidth="1"/>
    <col min="13" max="13" width="11.19921875" bestFit="1" customWidth="1"/>
    <col min="14" max="14" width="10.3984375" bestFit="1" customWidth="1"/>
    <col min="15" max="15" width="9.3984375" bestFit="1" customWidth="1"/>
  </cols>
  <sheetData>
    <row r="1" spans="1:14" x14ac:dyDescent="0.4">
      <c r="A1" t="s">
        <v>0</v>
      </c>
      <c r="B1" t="s">
        <v>1</v>
      </c>
      <c r="C1" t="s">
        <v>31</v>
      </c>
      <c r="D1" t="s">
        <v>13</v>
      </c>
      <c r="E1" t="s">
        <v>6</v>
      </c>
      <c r="F1" t="s">
        <v>2</v>
      </c>
      <c r="G1" t="s">
        <v>3</v>
      </c>
      <c r="H1" t="s">
        <v>4</v>
      </c>
      <c r="I1" t="s">
        <v>16</v>
      </c>
      <c r="J1" t="s">
        <v>17</v>
      </c>
      <c r="K1" t="s">
        <v>18</v>
      </c>
      <c r="L1" t="s">
        <v>5</v>
      </c>
      <c r="M1" t="s">
        <v>7</v>
      </c>
      <c r="N1" t="s">
        <v>8</v>
      </c>
    </row>
    <row r="2" spans="1:14" x14ac:dyDescent="0.4">
      <c r="A2">
        <v>101</v>
      </c>
      <c r="C2" t="s">
        <v>9</v>
      </c>
      <c r="D2" t="s">
        <v>15</v>
      </c>
      <c r="E2" t="s">
        <v>11</v>
      </c>
      <c r="F2" t="s">
        <v>10</v>
      </c>
    </row>
    <row r="3" spans="1:14" x14ac:dyDescent="0.4">
      <c r="A3">
        <v>102</v>
      </c>
      <c r="C3" t="s">
        <v>9</v>
      </c>
      <c r="D3" t="s">
        <v>15</v>
      </c>
      <c r="E3" t="s">
        <v>11</v>
      </c>
      <c r="F3" t="s">
        <v>10</v>
      </c>
    </row>
    <row r="4" spans="1:14" x14ac:dyDescent="0.4">
      <c r="A4">
        <v>103</v>
      </c>
      <c r="B4">
        <v>101</v>
      </c>
      <c r="C4" t="s">
        <v>12</v>
      </c>
      <c r="F4" t="s">
        <v>10</v>
      </c>
      <c r="G4">
        <v>363000000</v>
      </c>
      <c r="H4">
        <v>525000000</v>
      </c>
      <c r="I4">
        <v>10000000</v>
      </c>
      <c r="J4">
        <v>20000000</v>
      </c>
      <c r="K4">
        <v>20000000</v>
      </c>
      <c r="L4">
        <f>SUM(G4*60%)</f>
        <v>217800000</v>
      </c>
      <c r="M4">
        <f>SUM(G4-L4-I4-K4)</f>
        <v>115200000</v>
      </c>
      <c r="N4">
        <f>SUM(G4-L4)</f>
        <v>145200000</v>
      </c>
    </row>
    <row r="5" spans="1:14" x14ac:dyDescent="0.4">
      <c r="A5">
        <v>103</v>
      </c>
      <c r="B5">
        <v>102</v>
      </c>
      <c r="C5" t="s">
        <v>12</v>
      </c>
      <c r="F5" t="s">
        <v>10</v>
      </c>
      <c r="G5">
        <v>363000000</v>
      </c>
      <c r="H5">
        <v>525000000</v>
      </c>
      <c r="I5">
        <v>10000000</v>
      </c>
      <c r="J5">
        <v>20000000</v>
      </c>
      <c r="K5">
        <v>20000000</v>
      </c>
      <c r="L5">
        <f t="shared" ref="L5:L13" si="0">SUM(G5*60%)</f>
        <v>217800000</v>
      </c>
      <c r="M5">
        <f t="shared" ref="M5:M13" si="1">SUM(G5-L5-I5-K5)</f>
        <v>115200000</v>
      </c>
      <c r="N5">
        <f t="shared" ref="N5:N13" si="2">SUM(G5-L5)</f>
        <v>145200000</v>
      </c>
    </row>
    <row r="6" spans="1:14" x14ac:dyDescent="0.4">
      <c r="A6">
        <v>103</v>
      </c>
      <c r="B6">
        <v>201</v>
      </c>
      <c r="C6" t="s">
        <v>12</v>
      </c>
      <c r="F6" t="s">
        <v>10</v>
      </c>
      <c r="G6">
        <v>374000000</v>
      </c>
      <c r="H6">
        <v>530000000</v>
      </c>
      <c r="I6">
        <v>10000000</v>
      </c>
      <c r="J6">
        <v>20000000</v>
      </c>
      <c r="K6">
        <v>20000000</v>
      </c>
      <c r="L6">
        <f t="shared" si="0"/>
        <v>224400000</v>
      </c>
      <c r="M6">
        <f t="shared" si="1"/>
        <v>119600000</v>
      </c>
      <c r="N6">
        <f t="shared" si="2"/>
        <v>149600000</v>
      </c>
    </row>
    <row r="7" spans="1:14" x14ac:dyDescent="0.4">
      <c r="A7">
        <v>103</v>
      </c>
      <c r="B7">
        <v>202</v>
      </c>
      <c r="C7" t="s">
        <v>12</v>
      </c>
      <c r="F7" t="s">
        <v>10</v>
      </c>
      <c r="G7">
        <v>374000000</v>
      </c>
      <c r="H7">
        <v>530000000</v>
      </c>
      <c r="I7">
        <v>10000000</v>
      </c>
      <c r="J7">
        <v>20000000</v>
      </c>
      <c r="K7">
        <v>20000000</v>
      </c>
      <c r="L7">
        <f t="shared" si="0"/>
        <v>224400000</v>
      </c>
      <c r="M7">
        <f t="shared" si="1"/>
        <v>119600000</v>
      </c>
      <c r="N7">
        <f t="shared" si="2"/>
        <v>149600000</v>
      </c>
    </row>
    <row r="8" spans="1:14" x14ac:dyDescent="0.4">
      <c r="A8">
        <v>103</v>
      </c>
      <c r="B8">
        <v>301</v>
      </c>
      <c r="C8" t="s">
        <v>12</v>
      </c>
      <c r="F8" t="s">
        <v>10</v>
      </c>
      <c r="G8">
        <v>374000000</v>
      </c>
      <c r="H8">
        <v>535000000</v>
      </c>
      <c r="I8">
        <v>10000000</v>
      </c>
      <c r="J8">
        <v>20000000</v>
      </c>
      <c r="K8">
        <v>20000000</v>
      </c>
      <c r="L8">
        <f t="shared" si="0"/>
        <v>224400000</v>
      </c>
      <c r="M8">
        <f t="shared" si="1"/>
        <v>119600000</v>
      </c>
      <c r="N8">
        <f t="shared" si="2"/>
        <v>149600000</v>
      </c>
    </row>
    <row r="9" spans="1:14" x14ac:dyDescent="0.4">
      <c r="A9">
        <v>103</v>
      </c>
      <c r="B9">
        <v>302</v>
      </c>
      <c r="C9" t="s">
        <v>12</v>
      </c>
      <c r="F9" t="s">
        <v>10</v>
      </c>
      <c r="G9">
        <v>374000000</v>
      </c>
      <c r="H9">
        <v>535000000</v>
      </c>
      <c r="I9">
        <v>10000000</v>
      </c>
      <c r="J9">
        <v>20000000</v>
      </c>
      <c r="K9">
        <v>20000000</v>
      </c>
      <c r="L9">
        <f t="shared" si="0"/>
        <v>224400000</v>
      </c>
      <c r="M9">
        <f t="shared" si="1"/>
        <v>119600000</v>
      </c>
      <c r="N9">
        <f t="shared" si="2"/>
        <v>149600000</v>
      </c>
    </row>
    <row r="10" spans="1:14" x14ac:dyDescent="0.4">
      <c r="A10">
        <v>103</v>
      </c>
      <c r="B10">
        <v>401</v>
      </c>
      <c r="C10" t="s">
        <v>12</v>
      </c>
      <c r="F10" t="s">
        <v>10</v>
      </c>
      <c r="G10">
        <v>382000000</v>
      </c>
      <c r="H10">
        <v>540000000</v>
      </c>
      <c r="I10">
        <v>10000000</v>
      </c>
      <c r="J10">
        <v>20000000</v>
      </c>
      <c r="K10">
        <v>20000000</v>
      </c>
      <c r="L10">
        <f t="shared" si="0"/>
        <v>229200000</v>
      </c>
      <c r="M10">
        <f t="shared" si="1"/>
        <v>122800000</v>
      </c>
      <c r="N10">
        <f t="shared" si="2"/>
        <v>152800000</v>
      </c>
    </row>
    <row r="11" spans="1:14" x14ac:dyDescent="0.4">
      <c r="A11">
        <v>103</v>
      </c>
      <c r="B11">
        <v>402</v>
      </c>
      <c r="C11" t="s">
        <v>12</v>
      </c>
      <c r="F11" t="s">
        <v>10</v>
      </c>
      <c r="G11">
        <v>382000000</v>
      </c>
      <c r="H11">
        <v>540000000</v>
      </c>
      <c r="I11">
        <v>10000000</v>
      </c>
      <c r="J11">
        <v>20000000</v>
      </c>
      <c r="K11">
        <v>20000000</v>
      </c>
      <c r="L11">
        <f t="shared" si="0"/>
        <v>229200000</v>
      </c>
      <c r="M11">
        <f t="shared" si="1"/>
        <v>122800000</v>
      </c>
      <c r="N11">
        <f t="shared" si="2"/>
        <v>152800000</v>
      </c>
    </row>
    <row r="12" spans="1:14" x14ac:dyDescent="0.4">
      <c r="A12">
        <v>103</v>
      </c>
      <c r="B12">
        <v>501</v>
      </c>
      <c r="C12" t="s">
        <v>12</v>
      </c>
      <c r="F12" t="s">
        <v>10</v>
      </c>
      <c r="G12">
        <v>382000000</v>
      </c>
      <c r="H12">
        <v>540000000</v>
      </c>
      <c r="I12">
        <v>10000000</v>
      </c>
      <c r="J12">
        <v>20000000</v>
      </c>
      <c r="K12">
        <v>20000000</v>
      </c>
      <c r="L12">
        <f t="shared" si="0"/>
        <v>229200000</v>
      </c>
      <c r="M12">
        <f t="shared" si="1"/>
        <v>122800000</v>
      </c>
      <c r="N12">
        <f t="shared" si="2"/>
        <v>152800000</v>
      </c>
    </row>
    <row r="13" spans="1:14" x14ac:dyDescent="0.4">
      <c r="A13">
        <v>103</v>
      </c>
      <c r="B13">
        <v>502</v>
      </c>
      <c r="C13" t="s">
        <v>12</v>
      </c>
      <c r="F13" t="s">
        <v>10</v>
      </c>
      <c r="G13">
        <v>382000000</v>
      </c>
      <c r="H13">
        <v>540000000</v>
      </c>
      <c r="I13">
        <v>10000000</v>
      </c>
      <c r="J13">
        <v>20000000</v>
      </c>
      <c r="K13">
        <v>20000000</v>
      </c>
      <c r="L13">
        <f t="shared" si="0"/>
        <v>229200000</v>
      </c>
      <c r="M13">
        <f t="shared" si="1"/>
        <v>122800000</v>
      </c>
      <c r="N13">
        <f t="shared" si="2"/>
        <v>152800000</v>
      </c>
    </row>
    <row r="14" spans="1:14" x14ac:dyDescent="0.4">
      <c r="A14">
        <v>103</v>
      </c>
      <c r="C14" t="s">
        <v>9</v>
      </c>
      <c r="D14" t="s">
        <v>14</v>
      </c>
      <c r="E14" t="s">
        <v>11</v>
      </c>
      <c r="F14" t="s">
        <v>10</v>
      </c>
    </row>
    <row r="15" spans="1:14" x14ac:dyDescent="0.4">
      <c r="A15">
        <v>103</v>
      </c>
      <c r="B15">
        <v>1701</v>
      </c>
      <c r="C15" t="s">
        <v>12</v>
      </c>
      <c r="F15" t="s">
        <v>10</v>
      </c>
      <c r="G15">
        <v>390000000</v>
      </c>
      <c r="H15">
        <v>570000000</v>
      </c>
      <c r="I15">
        <v>10000000</v>
      </c>
      <c r="J15">
        <v>20000000</v>
      </c>
      <c r="K15">
        <v>20000000</v>
      </c>
      <c r="L15">
        <f t="shared" ref="L15:L56" si="3">SUM(G15*60%)</f>
        <v>234000000</v>
      </c>
      <c r="M15">
        <f t="shared" ref="M15:M54" si="4">SUM(G15-L15-I15-K15)</f>
        <v>126000000</v>
      </c>
      <c r="N15">
        <f t="shared" ref="N15:N56" si="5">SUM(G15-L15)</f>
        <v>156000000</v>
      </c>
    </row>
    <row r="16" spans="1:14" x14ac:dyDescent="0.4">
      <c r="A16">
        <v>103</v>
      </c>
      <c r="B16">
        <v>1702</v>
      </c>
      <c r="C16" t="s">
        <v>12</v>
      </c>
      <c r="F16" t="s">
        <v>10</v>
      </c>
      <c r="G16">
        <v>390000000</v>
      </c>
      <c r="H16">
        <v>570000000</v>
      </c>
      <c r="I16">
        <v>10000000</v>
      </c>
      <c r="J16">
        <v>20000000</v>
      </c>
      <c r="K16">
        <v>20000000</v>
      </c>
      <c r="L16">
        <f t="shared" si="3"/>
        <v>234000000</v>
      </c>
      <c r="M16">
        <f t="shared" si="4"/>
        <v>126000000</v>
      </c>
      <c r="N16">
        <f t="shared" si="5"/>
        <v>156000000</v>
      </c>
    </row>
    <row r="17" spans="1:14" x14ac:dyDescent="0.4">
      <c r="A17">
        <v>103</v>
      </c>
      <c r="B17">
        <v>1801</v>
      </c>
      <c r="C17" t="s">
        <v>12</v>
      </c>
      <c r="F17" t="s">
        <v>10</v>
      </c>
      <c r="G17">
        <v>390000000</v>
      </c>
      <c r="H17">
        <v>570000000</v>
      </c>
      <c r="I17">
        <v>10000000</v>
      </c>
      <c r="J17">
        <v>20000000</v>
      </c>
      <c r="K17">
        <v>20000000</v>
      </c>
      <c r="L17">
        <f t="shared" si="3"/>
        <v>234000000</v>
      </c>
      <c r="M17">
        <f t="shared" si="4"/>
        <v>126000000</v>
      </c>
      <c r="N17">
        <f t="shared" si="5"/>
        <v>156000000</v>
      </c>
    </row>
    <row r="18" spans="1:14" x14ac:dyDescent="0.4">
      <c r="A18">
        <v>103</v>
      </c>
      <c r="B18">
        <v>1802</v>
      </c>
      <c r="C18" t="s">
        <v>12</v>
      </c>
      <c r="F18" t="s">
        <v>10</v>
      </c>
      <c r="G18">
        <v>390000000</v>
      </c>
      <c r="H18">
        <v>570000000</v>
      </c>
      <c r="I18">
        <v>10000000</v>
      </c>
      <c r="J18">
        <v>20000000</v>
      </c>
      <c r="K18">
        <v>20000000</v>
      </c>
      <c r="L18">
        <f t="shared" si="3"/>
        <v>234000000</v>
      </c>
      <c r="M18">
        <f t="shared" si="4"/>
        <v>126000000</v>
      </c>
      <c r="N18">
        <f t="shared" si="5"/>
        <v>156000000</v>
      </c>
    </row>
    <row r="19" spans="1:14" x14ac:dyDescent="0.4">
      <c r="A19">
        <v>103</v>
      </c>
      <c r="B19">
        <v>1901</v>
      </c>
      <c r="C19" t="s">
        <v>12</v>
      </c>
      <c r="F19" t="s">
        <v>10</v>
      </c>
      <c r="G19">
        <v>390000000</v>
      </c>
      <c r="H19">
        <v>570000000</v>
      </c>
      <c r="I19">
        <v>10000000</v>
      </c>
      <c r="J19">
        <v>20000000</v>
      </c>
      <c r="K19">
        <v>20000000</v>
      </c>
      <c r="L19">
        <f t="shared" si="3"/>
        <v>234000000</v>
      </c>
      <c r="M19">
        <f t="shared" si="4"/>
        <v>126000000</v>
      </c>
      <c r="N19">
        <f t="shared" si="5"/>
        <v>156000000</v>
      </c>
    </row>
    <row r="20" spans="1:14" x14ac:dyDescent="0.4">
      <c r="A20">
        <v>103</v>
      </c>
      <c r="B20">
        <v>1902</v>
      </c>
      <c r="C20" t="s">
        <v>12</v>
      </c>
      <c r="F20" t="s">
        <v>10</v>
      </c>
      <c r="G20">
        <v>390000000</v>
      </c>
      <c r="H20">
        <v>570000000</v>
      </c>
      <c r="I20">
        <v>10000000</v>
      </c>
      <c r="J20">
        <v>20000000</v>
      </c>
      <c r="K20">
        <v>20000000</v>
      </c>
      <c r="L20">
        <f t="shared" si="3"/>
        <v>234000000</v>
      </c>
      <c r="M20">
        <f t="shared" si="4"/>
        <v>126000000</v>
      </c>
      <c r="N20">
        <f t="shared" si="5"/>
        <v>156000000</v>
      </c>
    </row>
    <row r="21" spans="1:14" x14ac:dyDescent="0.4">
      <c r="A21">
        <v>103</v>
      </c>
      <c r="B21">
        <v>2001</v>
      </c>
      <c r="C21" t="s">
        <v>12</v>
      </c>
      <c r="F21" t="s">
        <v>10</v>
      </c>
      <c r="G21">
        <v>390000000</v>
      </c>
      <c r="H21">
        <v>570000000</v>
      </c>
      <c r="I21">
        <v>10000000</v>
      </c>
      <c r="J21">
        <v>20000000</v>
      </c>
      <c r="K21">
        <v>20000000</v>
      </c>
      <c r="L21">
        <f t="shared" si="3"/>
        <v>234000000</v>
      </c>
      <c r="M21">
        <f t="shared" si="4"/>
        <v>126000000</v>
      </c>
      <c r="N21">
        <f t="shared" si="5"/>
        <v>156000000</v>
      </c>
    </row>
    <row r="22" spans="1:14" x14ac:dyDescent="0.4">
      <c r="A22">
        <v>103</v>
      </c>
      <c r="B22">
        <v>2002</v>
      </c>
      <c r="C22" t="s">
        <v>12</v>
      </c>
      <c r="F22" t="s">
        <v>10</v>
      </c>
      <c r="G22">
        <v>390000000</v>
      </c>
      <c r="H22">
        <v>570000000</v>
      </c>
      <c r="I22">
        <v>10000000</v>
      </c>
      <c r="J22">
        <v>20000000</v>
      </c>
      <c r="K22">
        <v>20000000</v>
      </c>
      <c r="L22">
        <f t="shared" si="3"/>
        <v>234000000</v>
      </c>
      <c r="M22">
        <f t="shared" si="4"/>
        <v>126000000</v>
      </c>
      <c r="N22">
        <f t="shared" si="5"/>
        <v>156000000</v>
      </c>
    </row>
    <row r="23" spans="1:14" x14ac:dyDescent="0.4">
      <c r="A23">
        <v>103</v>
      </c>
      <c r="B23">
        <v>2101</v>
      </c>
      <c r="C23" t="s">
        <v>12</v>
      </c>
      <c r="F23" t="s">
        <v>10</v>
      </c>
      <c r="G23">
        <v>397000000</v>
      </c>
      <c r="H23">
        <v>580000000</v>
      </c>
      <c r="I23">
        <v>10000000</v>
      </c>
      <c r="J23">
        <v>20000000</v>
      </c>
      <c r="K23">
        <v>20000000</v>
      </c>
      <c r="L23">
        <f t="shared" si="3"/>
        <v>238200000</v>
      </c>
      <c r="M23">
        <f t="shared" si="4"/>
        <v>128800000</v>
      </c>
      <c r="N23">
        <f t="shared" si="5"/>
        <v>158800000</v>
      </c>
    </row>
    <row r="24" spans="1:14" x14ac:dyDescent="0.4">
      <c r="A24">
        <v>103</v>
      </c>
      <c r="B24">
        <v>2102</v>
      </c>
      <c r="C24" t="s">
        <v>12</v>
      </c>
      <c r="F24" t="s">
        <v>10</v>
      </c>
      <c r="G24">
        <v>397000000</v>
      </c>
      <c r="H24">
        <v>580000000</v>
      </c>
      <c r="I24">
        <v>10000000</v>
      </c>
      <c r="J24">
        <v>20000000</v>
      </c>
      <c r="K24">
        <v>20000000</v>
      </c>
      <c r="L24">
        <f t="shared" si="3"/>
        <v>238200000</v>
      </c>
      <c r="M24">
        <f t="shared" si="4"/>
        <v>128800000</v>
      </c>
      <c r="N24">
        <f t="shared" si="5"/>
        <v>158800000</v>
      </c>
    </row>
    <row r="25" spans="1:14" x14ac:dyDescent="0.4">
      <c r="A25">
        <v>103</v>
      </c>
      <c r="B25">
        <v>2201</v>
      </c>
      <c r="C25" t="s">
        <v>12</v>
      </c>
      <c r="F25" t="s">
        <v>10</v>
      </c>
      <c r="G25">
        <v>397000000</v>
      </c>
      <c r="H25">
        <v>580000000</v>
      </c>
      <c r="I25">
        <v>10000000</v>
      </c>
      <c r="J25">
        <v>20000000</v>
      </c>
      <c r="K25">
        <v>20000000</v>
      </c>
      <c r="L25">
        <f t="shared" si="3"/>
        <v>238200000</v>
      </c>
      <c r="M25">
        <f t="shared" si="4"/>
        <v>128800000</v>
      </c>
      <c r="N25">
        <f t="shared" si="5"/>
        <v>158800000</v>
      </c>
    </row>
    <row r="26" spans="1:14" x14ac:dyDescent="0.4">
      <c r="A26">
        <v>103</v>
      </c>
      <c r="B26">
        <v>2202</v>
      </c>
      <c r="C26" t="s">
        <v>12</v>
      </c>
      <c r="F26" t="s">
        <v>10</v>
      </c>
      <c r="G26">
        <v>397000000</v>
      </c>
      <c r="H26">
        <v>580000000</v>
      </c>
      <c r="I26">
        <v>10000000</v>
      </c>
      <c r="J26">
        <v>20000000</v>
      </c>
      <c r="K26">
        <v>20000000</v>
      </c>
      <c r="L26">
        <f t="shared" si="3"/>
        <v>238200000</v>
      </c>
      <c r="M26">
        <f t="shared" si="4"/>
        <v>128800000</v>
      </c>
      <c r="N26">
        <f t="shared" si="5"/>
        <v>158800000</v>
      </c>
    </row>
    <row r="27" spans="1:14" x14ac:dyDescent="0.4">
      <c r="A27">
        <v>103</v>
      </c>
      <c r="B27">
        <v>2301</v>
      </c>
      <c r="C27" t="s">
        <v>12</v>
      </c>
      <c r="F27" t="s">
        <v>10</v>
      </c>
      <c r="G27">
        <v>397000000</v>
      </c>
      <c r="H27">
        <v>580000000</v>
      </c>
      <c r="I27">
        <v>10000000</v>
      </c>
      <c r="J27">
        <v>20000000</v>
      </c>
      <c r="K27">
        <v>20000000</v>
      </c>
      <c r="L27">
        <f t="shared" si="3"/>
        <v>238200000</v>
      </c>
      <c r="M27">
        <f t="shared" si="4"/>
        <v>128800000</v>
      </c>
      <c r="N27">
        <f t="shared" si="5"/>
        <v>158800000</v>
      </c>
    </row>
    <row r="28" spans="1:14" x14ac:dyDescent="0.4">
      <c r="A28">
        <v>103</v>
      </c>
      <c r="B28">
        <v>2302</v>
      </c>
      <c r="C28" t="s">
        <v>12</v>
      </c>
      <c r="F28" t="s">
        <v>10</v>
      </c>
      <c r="G28">
        <v>397000000</v>
      </c>
      <c r="H28">
        <v>580000000</v>
      </c>
      <c r="I28">
        <v>10000000</v>
      </c>
      <c r="J28">
        <v>20000000</v>
      </c>
      <c r="K28">
        <v>20000000</v>
      </c>
      <c r="L28">
        <f t="shared" si="3"/>
        <v>238200000</v>
      </c>
      <c r="M28">
        <f t="shared" si="4"/>
        <v>128800000</v>
      </c>
      <c r="N28">
        <f t="shared" si="5"/>
        <v>158800000</v>
      </c>
    </row>
    <row r="29" spans="1:14" x14ac:dyDescent="0.4">
      <c r="A29">
        <v>103</v>
      </c>
      <c r="B29">
        <v>2401</v>
      </c>
      <c r="C29" t="s">
        <v>12</v>
      </c>
      <c r="F29" t="s">
        <v>10</v>
      </c>
      <c r="G29">
        <v>397000000</v>
      </c>
      <c r="H29">
        <v>595000000</v>
      </c>
      <c r="I29">
        <v>10000000</v>
      </c>
      <c r="J29">
        <v>20000000</v>
      </c>
      <c r="K29">
        <v>20000000</v>
      </c>
      <c r="L29">
        <f t="shared" si="3"/>
        <v>238200000</v>
      </c>
      <c r="M29">
        <f t="shared" si="4"/>
        <v>128800000</v>
      </c>
      <c r="N29">
        <f t="shared" si="5"/>
        <v>158800000</v>
      </c>
    </row>
    <row r="30" spans="1:14" x14ac:dyDescent="0.4">
      <c r="A30">
        <v>103</v>
      </c>
      <c r="B30">
        <v>2402</v>
      </c>
      <c r="C30" t="s">
        <v>12</v>
      </c>
      <c r="F30" t="s">
        <v>10</v>
      </c>
      <c r="G30">
        <v>397000000</v>
      </c>
      <c r="H30">
        <v>595000000</v>
      </c>
      <c r="I30">
        <v>10000000</v>
      </c>
      <c r="J30">
        <v>20000000</v>
      </c>
      <c r="K30">
        <v>20000000</v>
      </c>
      <c r="L30">
        <f t="shared" si="3"/>
        <v>238200000</v>
      </c>
      <c r="M30">
        <f t="shared" si="4"/>
        <v>128800000</v>
      </c>
      <c r="N30">
        <f t="shared" si="5"/>
        <v>158800000</v>
      </c>
    </row>
    <row r="31" spans="1:14" x14ac:dyDescent="0.4">
      <c r="A31">
        <v>103</v>
      </c>
      <c r="B31">
        <v>2501</v>
      </c>
      <c r="C31" t="s">
        <v>12</v>
      </c>
      <c r="F31" t="s">
        <v>10</v>
      </c>
      <c r="G31">
        <v>397000000</v>
      </c>
      <c r="H31">
        <v>595000000</v>
      </c>
      <c r="I31">
        <v>10000000</v>
      </c>
      <c r="J31">
        <v>20000000</v>
      </c>
      <c r="K31">
        <v>20000000</v>
      </c>
      <c r="L31">
        <f t="shared" si="3"/>
        <v>238200000</v>
      </c>
      <c r="M31">
        <f t="shared" si="4"/>
        <v>128800000</v>
      </c>
      <c r="N31">
        <f t="shared" si="5"/>
        <v>158800000</v>
      </c>
    </row>
    <row r="32" spans="1:14" x14ac:dyDescent="0.4">
      <c r="A32">
        <v>103</v>
      </c>
      <c r="B32">
        <v>2502</v>
      </c>
      <c r="C32" t="s">
        <v>12</v>
      </c>
      <c r="F32" t="s">
        <v>10</v>
      </c>
      <c r="G32">
        <v>397000000</v>
      </c>
      <c r="H32">
        <v>595000000</v>
      </c>
      <c r="I32">
        <v>10000000</v>
      </c>
      <c r="J32">
        <v>20000000</v>
      </c>
      <c r="K32">
        <v>20000000</v>
      </c>
      <c r="L32">
        <f t="shared" si="3"/>
        <v>238200000</v>
      </c>
      <c r="M32">
        <f t="shared" si="4"/>
        <v>128800000</v>
      </c>
      <c r="N32">
        <f t="shared" si="5"/>
        <v>158800000</v>
      </c>
    </row>
    <row r="33" spans="1:14" x14ac:dyDescent="0.4">
      <c r="A33">
        <v>103</v>
      </c>
      <c r="B33">
        <v>2601</v>
      </c>
      <c r="C33" t="s">
        <v>12</v>
      </c>
      <c r="F33" t="s">
        <v>10</v>
      </c>
      <c r="G33">
        <v>397000000</v>
      </c>
      <c r="H33">
        <v>595000000</v>
      </c>
      <c r="I33">
        <v>10000000</v>
      </c>
      <c r="J33">
        <v>20000000</v>
      </c>
      <c r="K33">
        <v>20000000</v>
      </c>
      <c r="L33">
        <f t="shared" si="3"/>
        <v>238200000</v>
      </c>
      <c r="M33">
        <f t="shared" si="4"/>
        <v>128800000</v>
      </c>
      <c r="N33">
        <f t="shared" si="5"/>
        <v>158800000</v>
      </c>
    </row>
    <row r="34" spans="1:14" x14ac:dyDescent="0.4">
      <c r="A34">
        <v>103</v>
      </c>
      <c r="B34">
        <v>2602</v>
      </c>
      <c r="C34" t="s">
        <v>12</v>
      </c>
      <c r="F34" t="s">
        <v>10</v>
      </c>
      <c r="G34">
        <v>397000000</v>
      </c>
      <c r="H34">
        <v>595000000</v>
      </c>
      <c r="I34">
        <v>10000000</v>
      </c>
      <c r="J34">
        <v>20000000</v>
      </c>
      <c r="K34">
        <v>20000000</v>
      </c>
      <c r="L34">
        <f t="shared" si="3"/>
        <v>238200000</v>
      </c>
      <c r="M34">
        <f t="shared" si="4"/>
        <v>128800000</v>
      </c>
      <c r="N34">
        <f t="shared" si="5"/>
        <v>158800000</v>
      </c>
    </row>
    <row r="35" spans="1:14" x14ac:dyDescent="0.4">
      <c r="A35">
        <v>104</v>
      </c>
      <c r="B35">
        <v>101</v>
      </c>
      <c r="C35" t="s">
        <v>35</v>
      </c>
      <c r="F35" t="s">
        <v>36</v>
      </c>
      <c r="G35">
        <v>363000000</v>
      </c>
      <c r="H35">
        <v>525000000</v>
      </c>
      <c r="I35">
        <v>10000000</v>
      </c>
      <c r="J35">
        <v>20000000</v>
      </c>
      <c r="K35">
        <v>20000000</v>
      </c>
      <c r="L35">
        <f t="shared" si="3"/>
        <v>217800000</v>
      </c>
      <c r="M35">
        <f t="shared" si="4"/>
        <v>115200000</v>
      </c>
      <c r="N35">
        <f t="shared" si="5"/>
        <v>145200000</v>
      </c>
    </row>
    <row r="36" spans="1:14" x14ac:dyDescent="0.4">
      <c r="A36">
        <v>104</v>
      </c>
      <c r="B36">
        <v>102</v>
      </c>
      <c r="C36" t="s">
        <v>35</v>
      </c>
      <c r="F36" t="s">
        <v>36</v>
      </c>
      <c r="G36">
        <v>363000000</v>
      </c>
      <c r="H36">
        <v>525000000</v>
      </c>
      <c r="I36">
        <v>10000000</v>
      </c>
      <c r="J36">
        <v>20000000</v>
      </c>
      <c r="K36">
        <v>20000000</v>
      </c>
      <c r="L36">
        <f t="shared" si="3"/>
        <v>217800000</v>
      </c>
      <c r="M36">
        <f t="shared" si="4"/>
        <v>115200000</v>
      </c>
      <c r="N36">
        <f t="shared" si="5"/>
        <v>145200000</v>
      </c>
    </row>
    <row r="37" spans="1:14" x14ac:dyDescent="0.4">
      <c r="A37">
        <v>104</v>
      </c>
      <c r="B37">
        <v>103</v>
      </c>
      <c r="C37" t="s">
        <v>35</v>
      </c>
      <c r="F37" t="s">
        <v>36</v>
      </c>
      <c r="G37">
        <v>363000000</v>
      </c>
      <c r="H37">
        <v>525000000</v>
      </c>
      <c r="I37">
        <v>10000000</v>
      </c>
      <c r="J37">
        <v>20000000</v>
      </c>
      <c r="K37">
        <v>20000000</v>
      </c>
      <c r="L37">
        <f t="shared" si="3"/>
        <v>217800000</v>
      </c>
      <c r="M37">
        <f t="shared" si="4"/>
        <v>115200000</v>
      </c>
      <c r="N37">
        <f t="shared" si="5"/>
        <v>145200000</v>
      </c>
    </row>
    <row r="38" spans="1:14" x14ac:dyDescent="0.4">
      <c r="A38">
        <v>104</v>
      </c>
      <c r="B38">
        <v>104</v>
      </c>
      <c r="C38" t="s">
        <v>35</v>
      </c>
      <c r="F38" t="s">
        <v>36</v>
      </c>
      <c r="G38">
        <v>363000000</v>
      </c>
      <c r="H38">
        <v>525000000</v>
      </c>
      <c r="I38">
        <v>10000000</v>
      </c>
      <c r="J38">
        <v>20000000</v>
      </c>
      <c r="K38">
        <v>20000000</v>
      </c>
      <c r="L38">
        <f t="shared" si="3"/>
        <v>217800000</v>
      </c>
      <c r="M38">
        <f t="shared" si="4"/>
        <v>115200000</v>
      </c>
      <c r="N38">
        <f t="shared" si="5"/>
        <v>145200000</v>
      </c>
    </row>
    <row r="39" spans="1:14" x14ac:dyDescent="0.4">
      <c r="A39">
        <v>104</v>
      </c>
      <c r="B39">
        <v>201</v>
      </c>
      <c r="C39" t="s">
        <v>35</v>
      </c>
      <c r="F39" t="s">
        <v>36</v>
      </c>
      <c r="G39">
        <v>374000000</v>
      </c>
      <c r="H39">
        <v>530000000</v>
      </c>
      <c r="I39">
        <v>10000000</v>
      </c>
      <c r="J39">
        <v>20000000</v>
      </c>
      <c r="K39">
        <v>20000000</v>
      </c>
      <c r="L39">
        <f t="shared" si="3"/>
        <v>224400000</v>
      </c>
      <c r="M39">
        <f t="shared" si="4"/>
        <v>119600000</v>
      </c>
      <c r="N39">
        <f t="shared" si="5"/>
        <v>149600000</v>
      </c>
    </row>
    <row r="40" spans="1:14" x14ac:dyDescent="0.4">
      <c r="A40">
        <v>104</v>
      </c>
      <c r="B40">
        <v>202</v>
      </c>
      <c r="C40" t="s">
        <v>35</v>
      </c>
      <c r="F40" t="s">
        <v>36</v>
      </c>
      <c r="G40">
        <v>374000000</v>
      </c>
      <c r="H40">
        <v>530000000</v>
      </c>
      <c r="I40">
        <v>10000000</v>
      </c>
      <c r="J40">
        <v>20000000</v>
      </c>
      <c r="K40">
        <v>20000000</v>
      </c>
      <c r="L40">
        <f t="shared" si="3"/>
        <v>224400000</v>
      </c>
      <c r="M40">
        <f t="shared" si="4"/>
        <v>119600000</v>
      </c>
      <c r="N40">
        <f t="shared" si="5"/>
        <v>149600000</v>
      </c>
    </row>
    <row r="41" spans="1:14" x14ac:dyDescent="0.4">
      <c r="A41">
        <v>104</v>
      </c>
      <c r="B41">
        <v>203</v>
      </c>
      <c r="C41" t="s">
        <v>35</v>
      </c>
      <c r="F41" t="s">
        <v>36</v>
      </c>
      <c r="G41">
        <v>374000000</v>
      </c>
      <c r="H41">
        <v>530000000</v>
      </c>
      <c r="I41">
        <v>10000000</v>
      </c>
      <c r="J41">
        <v>20000000</v>
      </c>
      <c r="K41">
        <v>20000000</v>
      </c>
      <c r="L41">
        <f t="shared" si="3"/>
        <v>224400000</v>
      </c>
      <c r="M41">
        <f t="shared" si="4"/>
        <v>119600000</v>
      </c>
      <c r="N41">
        <f t="shared" si="5"/>
        <v>149600000</v>
      </c>
    </row>
    <row r="42" spans="1:14" x14ac:dyDescent="0.4">
      <c r="A42">
        <v>104</v>
      </c>
      <c r="B42">
        <v>204</v>
      </c>
      <c r="C42" t="s">
        <v>35</v>
      </c>
      <c r="F42" t="s">
        <v>36</v>
      </c>
      <c r="G42">
        <v>374000000</v>
      </c>
      <c r="H42">
        <v>530000000</v>
      </c>
      <c r="I42">
        <v>10000000</v>
      </c>
      <c r="J42">
        <v>20000000</v>
      </c>
      <c r="K42">
        <v>20000000</v>
      </c>
      <c r="L42">
        <f t="shared" si="3"/>
        <v>224400000</v>
      </c>
      <c r="M42">
        <f t="shared" si="4"/>
        <v>119600000</v>
      </c>
      <c r="N42">
        <f t="shared" si="5"/>
        <v>149600000</v>
      </c>
    </row>
    <row r="43" spans="1:14" x14ac:dyDescent="0.4">
      <c r="A43">
        <v>104</v>
      </c>
      <c r="B43">
        <v>301</v>
      </c>
      <c r="C43" t="s">
        <v>35</v>
      </c>
      <c r="F43" t="s">
        <v>36</v>
      </c>
      <c r="G43">
        <v>374000000</v>
      </c>
      <c r="H43">
        <v>535000000</v>
      </c>
      <c r="I43">
        <v>10000000</v>
      </c>
      <c r="J43">
        <v>20000000</v>
      </c>
      <c r="K43">
        <v>20000000</v>
      </c>
      <c r="L43">
        <f t="shared" si="3"/>
        <v>224400000</v>
      </c>
      <c r="M43">
        <f t="shared" si="4"/>
        <v>119600000</v>
      </c>
      <c r="N43">
        <f t="shared" si="5"/>
        <v>149600000</v>
      </c>
    </row>
    <row r="44" spans="1:14" x14ac:dyDescent="0.4">
      <c r="A44">
        <v>104</v>
      </c>
      <c r="B44">
        <v>302</v>
      </c>
      <c r="C44" t="s">
        <v>35</v>
      </c>
      <c r="F44" t="s">
        <v>36</v>
      </c>
      <c r="G44">
        <v>374000000</v>
      </c>
      <c r="H44">
        <v>535000000</v>
      </c>
      <c r="I44">
        <v>10000000</v>
      </c>
      <c r="J44">
        <v>20000000</v>
      </c>
      <c r="K44">
        <v>20000000</v>
      </c>
      <c r="L44">
        <f t="shared" si="3"/>
        <v>224400000</v>
      </c>
      <c r="M44">
        <f t="shared" si="4"/>
        <v>119600000</v>
      </c>
      <c r="N44">
        <f t="shared" si="5"/>
        <v>149600000</v>
      </c>
    </row>
    <row r="45" spans="1:14" x14ac:dyDescent="0.4">
      <c r="A45">
        <v>104</v>
      </c>
      <c r="B45">
        <v>303</v>
      </c>
      <c r="C45" t="s">
        <v>35</v>
      </c>
      <c r="F45" t="s">
        <v>36</v>
      </c>
      <c r="G45">
        <v>374000000</v>
      </c>
      <c r="H45">
        <v>535000000</v>
      </c>
      <c r="I45">
        <v>10000000</v>
      </c>
      <c r="J45">
        <v>20000000</v>
      </c>
      <c r="K45">
        <v>20000000</v>
      </c>
      <c r="L45">
        <f t="shared" si="3"/>
        <v>224400000</v>
      </c>
      <c r="M45">
        <f t="shared" si="4"/>
        <v>119600000</v>
      </c>
      <c r="N45">
        <f t="shared" si="5"/>
        <v>149600000</v>
      </c>
    </row>
    <row r="46" spans="1:14" x14ac:dyDescent="0.4">
      <c r="A46">
        <v>104</v>
      </c>
      <c r="B46">
        <v>304</v>
      </c>
      <c r="C46" t="s">
        <v>35</v>
      </c>
      <c r="F46" t="s">
        <v>36</v>
      </c>
      <c r="G46">
        <v>374000000</v>
      </c>
      <c r="H46">
        <v>535000000</v>
      </c>
      <c r="I46">
        <v>10000000</v>
      </c>
      <c r="J46">
        <v>20000000</v>
      </c>
      <c r="K46">
        <v>20000000</v>
      </c>
      <c r="L46">
        <f t="shared" si="3"/>
        <v>224400000</v>
      </c>
      <c r="M46">
        <f t="shared" si="4"/>
        <v>119600000</v>
      </c>
      <c r="N46">
        <f t="shared" si="5"/>
        <v>149600000</v>
      </c>
    </row>
    <row r="47" spans="1:14" x14ac:dyDescent="0.4">
      <c r="A47">
        <v>104</v>
      </c>
      <c r="B47">
        <v>401</v>
      </c>
      <c r="C47" t="s">
        <v>35</v>
      </c>
      <c r="F47" t="s">
        <v>36</v>
      </c>
      <c r="G47">
        <v>382000000</v>
      </c>
      <c r="H47">
        <v>540000000</v>
      </c>
      <c r="I47">
        <v>10000000</v>
      </c>
      <c r="J47">
        <v>20000000</v>
      </c>
      <c r="K47">
        <v>20000000</v>
      </c>
      <c r="L47">
        <f t="shared" si="3"/>
        <v>229200000</v>
      </c>
      <c r="M47">
        <f t="shared" si="4"/>
        <v>122800000</v>
      </c>
      <c r="N47">
        <f t="shared" si="5"/>
        <v>152800000</v>
      </c>
    </row>
    <row r="48" spans="1:14" x14ac:dyDescent="0.4">
      <c r="A48">
        <v>104</v>
      </c>
      <c r="B48">
        <v>402</v>
      </c>
      <c r="C48" t="s">
        <v>35</v>
      </c>
      <c r="F48" t="s">
        <v>36</v>
      </c>
      <c r="G48">
        <v>382000000</v>
      </c>
      <c r="H48">
        <v>540000000</v>
      </c>
      <c r="I48">
        <v>10000000</v>
      </c>
      <c r="J48">
        <v>20000000</v>
      </c>
      <c r="K48">
        <v>20000000</v>
      </c>
      <c r="L48">
        <f t="shared" si="3"/>
        <v>229200000</v>
      </c>
      <c r="M48">
        <f t="shared" si="4"/>
        <v>122800000</v>
      </c>
      <c r="N48">
        <f t="shared" si="5"/>
        <v>152800000</v>
      </c>
    </row>
    <row r="49" spans="1:14" x14ac:dyDescent="0.4">
      <c r="A49">
        <v>104</v>
      </c>
      <c r="B49">
        <v>403</v>
      </c>
      <c r="C49" t="s">
        <v>35</v>
      </c>
      <c r="F49" t="s">
        <v>36</v>
      </c>
      <c r="G49">
        <v>382000000</v>
      </c>
      <c r="H49">
        <v>540000000</v>
      </c>
      <c r="I49">
        <v>10000000</v>
      </c>
      <c r="J49">
        <v>20000000</v>
      </c>
      <c r="K49">
        <v>20000000</v>
      </c>
      <c r="L49">
        <f t="shared" si="3"/>
        <v>229200000</v>
      </c>
      <c r="M49">
        <f t="shared" si="4"/>
        <v>122800000</v>
      </c>
      <c r="N49">
        <f t="shared" si="5"/>
        <v>152800000</v>
      </c>
    </row>
    <row r="50" spans="1:14" x14ac:dyDescent="0.4">
      <c r="A50">
        <v>104</v>
      </c>
      <c r="B50">
        <v>404</v>
      </c>
      <c r="C50" t="s">
        <v>35</v>
      </c>
      <c r="F50" t="s">
        <v>36</v>
      </c>
      <c r="G50">
        <v>382000000</v>
      </c>
      <c r="H50">
        <v>540000000</v>
      </c>
      <c r="I50">
        <v>10000000</v>
      </c>
      <c r="J50">
        <v>20000000</v>
      </c>
      <c r="K50">
        <v>20000000</v>
      </c>
      <c r="L50">
        <f t="shared" si="3"/>
        <v>229200000</v>
      </c>
      <c r="M50">
        <f t="shared" si="4"/>
        <v>122800000</v>
      </c>
      <c r="N50">
        <f t="shared" si="5"/>
        <v>152800000</v>
      </c>
    </row>
    <row r="51" spans="1:14" x14ac:dyDescent="0.4">
      <c r="A51">
        <v>104</v>
      </c>
      <c r="B51">
        <v>501</v>
      </c>
      <c r="C51" t="s">
        <v>35</v>
      </c>
      <c r="F51" t="s">
        <v>36</v>
      </c>
      <c r="G51">
        <v>382000000</v>
      </c>
      <c r="H51">
        <v>540000000</v>
      </c>
      <c r="I51">
        <v>10000000</v>
      </c>
      <c r="J51">
        <v>20000000</v>
      </c>
      <c r="K51">
        <v>20000000</v>
      </c>
      <c r="L51">
        <f t="shared" si="3"/>
        <v>229200000</v>
      </c>
      <c r="M51">
        <f t="shared" si="4"/>
        <v>122800000</v>
      </c>
      <c r="N51">
        <f t="shared" si="5"/>
        <v>152800000</v>
      </c>
    </row>
    <row r="52" spans="1:14" x14ac:dyDescent="0.4">
      <c r="A52">
        <v>104</v>
      </c>
      <c r="B52">
        <v>502</v>
      </c>
      <c r="C52" t="s">
        <v>35</v>
      </c>
      <c r="F52" t="s">
        <v>36</v>
      </c>
      <c r="G52">
        <v>382000000</v>
      </c>
      <c r="H52">
        <v>540000000</v>
      </c>
      <c r="I52">
        <v>10000000</v>
      </c>
      <c r="J52">
        <v>20000000</v>
      </c>
      <c r="K52">
        <v>20000000</v>
      </c>
      <c r="L52">
        <f t="shared" si="3"/>
        <v>229200000</v>
      </c>
      <c r="M52">
        <f t="shared" si="4"/>
        <v>122800000</v>
      </c>
      <c r="N52">
        <f t="shared" si="5"/>
        <v>152800000</v>
      </c>
    </row>
    <row r="53" spans="1:14" x14ac:dyDescent="0.4">
      <c r="A53">
        <v>104</v>
      </c>
      <c r="B53">
        <v>503</v>
      </c>
      <c r="C53" t="s">
        <v>35</v>
      </c>
      <c r="F53" t="s">
        <v>36</v>
      </c>
      <c r="G53">
        <v>382000000</v>
      </c>
      <c r="H53">
        <v>540000000</v>
      </c>
      <c r="I53">
        <v>10000000</v>
      </c>
      <c r="J53">
        <v>20000000</v>
      </c>
      <c r="K53">
        <v>20000000</v>
      </c>
      <c r="L53">
        <f t="shared" si="3"/>
        <v>229200000</v>
      </c>
      <c r="M53">
        <f t="shared" si="4"/>
        <v>122800000</v>
      </c>
      <c r="N53">
        <f t="shared" si="5"/>
        <v>152800000</v>
      </c>
    </row>
    <row r="54" spans="1:14" x14ac:dyDescent="0.4">
      <c r="A54">
        <v>104</v>
      </c>
      <c r="B54">
        <v>504</v>
      </c>
      <c r="C54" t="s">
        <v>35</v>
      </c>
      <c r="F54" t="s">
        <v>36</v>
      </c>
      <c r="G54">
        <v>382000000</v>
      </c>
      <c r="H54">
        <v>540000000</v>
      </c>
      <c r="I54">
        <v>10000000</v>
      </c>
      <c r="J54">
        <v>20000000</v>
      </c>
      <c r="K54">
        <v>20000000</v>
      </c>
      <c r="L54">
        <f t="shared" si="3"/>
        <v>229200000</v>
      </c>
      <c r="M54">
        <f t="shared" si="4"/>
        <v>122800000</v>
      </c>
      <c r="N54">
        <f t="shared" si="5"/>
        <v>152800000</v>
      </c>
    </row>
    <row r="55" spans="1:14" x14ac:dyDescent="0.4">
      <c r="A55">
        <v>104</v>
      </c>
      <c r="C55" t="s">
        <v>37</v>
      </c>
      <c r="D55" t="s">
        <v>38</v>
      </c>
      <c r="E55" t="s">
        <v>11</v>
      </c>
      <c r="F55" t="s">
        <v>36</v>
      </c>
    </row>
    <row r="56" spans="1:14" x14ac:dyDescent="0.4">
      <c r="A56">
        <v>104</v>
      </c>
      <c r="B56">
        <v>1701</v>
      </c>
      <c r="C56" t="s">
        <v>35</v>
      </c>
      <c r="F56" t="s">
        <v>36</v>
      </c>
      <c r="G56">
        <v>390000000</v>
      </c>
      <c r="H56">
        <v>570000000</v>
      </c>
      <c r="I56">
        <v>10000000</v>
      </c>
      <c r="J56">
        <v>20000000</v>
      </c>
      <c r="K56">
        <v>20000000</v>
      </c>
      <c r="L56">
        <f t="shared" si="3"/>
        <v>234000000</v>
      </c>
      <c r="M56">
        <f t="shared" ref="M56:M115" si="6">SUM(G56-L56-I56-K56)</f>
        <v>126000000</v>
      </c>
      <c r="N56">
        <f t="shared" si="5"/>
        <v>156000000</v>
      </c>
    </row>
    <row r="57" spans="1:14" x14ac:dyDescent="0.4">
      <c r="A57">
        <v>104</v>
      </c>
      <c r="B57">
        <v>1702</v>
      </c>
      <c r="C57" t="s">
        <v>35</v>
      </c>
      <c r="F57" t="s">
        <v>36</v>
      </c>
      <c r="G57">
        <v>390000000</v>
      </c>
      <c r="H57">
        <v>570000000</v>
      </c>
      <c r="I57">
        <v>10000000</v>
      </c>
      <c r="J57">
        <v>20000000</v>
      </c>
      <c r="K57">
        <v>20000000</v>
      </c>
      <c r="L57">
        <f t="shared" ref="L57:L71" si="7">SUM(G57*60%)</f>
        <v>234000000</v>
      </c>
      <c r="M57">
        <f t="shared" si="6"/>
        <v>126000000</v>
      </c>
      <c r="N57">
        <f t="shared" ref="N57:N71" si="8">SUM(G57-L57)</f>
        <v>156000000</v>
      </c>
    </row>
    <row r="58" spans="1:14" x14ac:dyDescent="0.4">
      <c r="A58">
        <v>104</v>
      </c>
      <c r="B58">
        <v>1703</v>
      </c>
      <c r="C58" t="s">
        <v>35</v>
      </c>
      <c r="F58" t="s">
        <v>36</v>
      </c>
      <c r="G58">
        <v>390000000</v>
      </c>
      <c r="H58">
        <v>570000000</v>
      </c>
      <c r="I58">
        <v>10000000</v>
      </c>
      <c r="J58">
        <v>20000000</v>
      </c>
      <c r="K58">
        <v>20000000</v>
      </c>
      <c r="L58">
        <f t="shared" si="7"/>
        <v>234000000</v>
      </c>
      <c r="M58">
        <f t="shared" si="6"/>
        <v>126000000</v>
      </c>
      <c r="N58">
        <f t="shared" si="8"/>
        <v>156000000</v>
      </c>
    </row>
    <row r="59" spans="1:14" x14ac:dyDescent="0.4">
      <c r="A59">
        <v>104</v>
      </c>
      <c r="B59">
        <v>1704</v>
      </c>
      <c r="C59" t="s">
        <v>35</v>
      </c>
      <c r="F59" t="s">
        <v>36</v>
      </c>
      <c r="G59">
        <v>390000000</v>
      </c>
      <c r="H59">
        <v>570000000</v>
      </c>
      <c r="I59">
        <v>10000000</v>
      </c>
      <c r="J59">
        <v>20000000</v>
      </c>
      <c r="K59">
        <v>20000000</v>
      </c>
      <c r="L59">
        <f t="shared" si="7"/>
        <v>234000000</v>
      </c>
      <c r="M59">
        <f t="shared" si="6"/>
        <v>126000000</v>
      </c>
      <c r="N59">
        <f t="shared" si="8"/>
        <v>156000000</v>
      </c>
    </row>
    <row r="60" spans="1:14" x14ac:dyDescent="0.4">
      <c r="A60">
        <v>104</v>
      </c>
      <c r="B60">
        <v>1801</v>
      </c>
      <c r="C60" t="s">
        <v>35</v>
      </c>
      <c r="F60" t="s">
        <v>36</v>
      </c>
      <c r="G60">
        <v>390000000</v>
      </c>
      <c r="H60">
        <v>570000000</v>
      </c>
      <c r="I60">
        <v>10000000</v>
      </c>
      <c r="J60">
        <v>20000000</v>
      </c>
      <c r="K60">
        <v>20000000</v>
      </c>
      <c r="L60">
        <f t="shared" si="7"/>
        <v>234000000</v>
      </c>
      <c r="M60">
        <f t="shared" si="6"/>
        <v>126000000</v>
      </c>
      <c r="N60">
        <f t="shared" si="8"/>
        <v>156000000</v>
      </c>
    </row>
    <row r="61" spans="1:14" x14ac:dyDescent="0.4">
      <c r="A61">
        <v>104</v>
      </c>
      <c r="B61">
        <v>1802</v>
      </c>
      <c r="C61" t="s">
        <v>35</v>
      </c>
      <c r="F61" t="s">
        <v>36</v>
      </c>
      <c r="G61">
        <v>390000000</v>
      </c>
      <c r="H61">
        <v>570000000</v>
      </c>
      <c r="I61">
        <v>10000000</v>
      </c>
      <c r="J61">
        <v>20000000</v>
      </c>
      <c r="K61">
        <v>20000000</v>
      </c>
      <c r="L61">
        <f t="shared" si="7"/>
        <v>234000000</v>
      </c>
      <c r="M61">
        <f t="shared" si="6"/>
        <v>126000000</v>
      </c>
      <c r="N61">
        <f t="shared" si="8"/>
        <v>156000000</v>
      </c>
    </row>
    <row r="62" spans="1:14" x14ac:dyDescent="0.4">
      <c r="A62">
        <v>104</v>
      </c>
      <c r="B62">
        <v>1803</v>
      </c>
      <c r="C62" t="s">
        <v>35</v>
      </c>
      <c r="F62" t="s">
        <v>36</v>
      </c>
      <c r="G62">
        <v>390000000</v>
      </c>
      <c r="H62">
        <v>570000000</v>
      </c>
      <c r="I62">
        <v>10000000</v>
      </c>
      <c r="J62">
        <v>20000000</v>
      </c>
      <c r="K62">
        <v>20000000</v>
      </c>
      <c r="L62">
        <f t="shared" si="7"/>
        <v>234000000</v>
      </c>
      <c r="M62">
        <f t="shared" si="6"/>
        <v>126000000</v>
      </c>
      <c r="N62">
        <f t="shared" si="8"/>
        <v>156000000</v>
      </c>
    </row>
    <row r="63" spans="1:14" x14ac:dyDescent="0.4">
      <c r="A63">
        <v>104</v>
      </c>
      <c r="B63">
        <v>1804</v>
      </c>
      <c r="C63" t="s">
        <v>35</v>
      </c>
      <c r="F63" t="s">
        <v>36</v>
      </c>
      <c r="G63">
        <v>390000000</v>
      </c>
      <c r="H63">
        <v>570000000</v>
      </c>
      <c r="I63">
        <v>10000000</v>
      </c>
      <c r="J63">
        <v>20000000</v>
      </c>
      <c r="K63">
        <v>20000000</v>
      </c>
      <c r="L63">
        <f t="shared" si="7"/>
        <v>234000000</v>
      </c>
      <c r="M63">
        <f t="shared" si="6"/>
        <v>126000000</v>
      </c>
      <c r="N63">
        <f t="shared" si="8"/>
        <v>156000000</v>
      </c>
    </row>
    <row r="64" spans="1:14" x14ac:dyDescent="0.4">
      <c r="A64">
        <v>104</v>
      </c>
      <c r="B64">
        <v>1901</v>
      </c>
      <c r="C64" t="s">
        <v>35</v>
      </c>
      <c r="F64" t="s">
        <v>36</v>
      </c>
      <c r="G64">
        <v>390000000</v>
      </c>
      <c r="H64">
        <v>570000000</v>
      </c>
      <c r="I64">
        <v>10000000</v>
      </c>
      <c r="J64">
        <v>20000000</v>
      </c>
      <c r="K64">
        <v>20000000</v>
      </c>
      <c r="L64">
        <f t="shared" si="7"/>
        <v>234000000</v>
      </c>
      <c r="M64">
        <f t="shared" si="6"/>
        <v>126000000</v>
      </c>
      <c r="N64">
        <f t="shared" si="8"/>
        <v>156000000</v>
      </c>
    </row>
    <row r="65" spans="1:14" x14ac:dyDescent="0.4">
      <c r="A65">
        <v>104</v>
      </c>
      <c r="B65">
        <v>1902</v>
      </c>
      <c r="C65" t="s">
        <v>35</v>
      </c>
      <c r="F65" t="s">
        <v>36</v>
      </c>
      <c r="G65">
        <v>390000000</v>
      </c>
      <c r="H65">
        <v>570000000</v>
      </c>
      <c r="I65">
        <v>10000000</v>
      </c>
      <c r="J65">
        <v>20000000</v>
      </c>
      <c r="K65">
        <v>20000000</v>
      </c>
      <c r="L65">
        <f t="shared" si="7"/>
        <v>234000000</v>
      </c>
      <c r="M65">
        <f t="shared" si="6"/>
        <v>126000000</v>
      </c>
      <c r="N65">
        <f t="shared" si="8"/>
        <v>156000000</v>
      </c>
    </row>
    <row r="66" spans="1:14" x14ac:dyDescent="0.4">
      <c r="A66">
        <v>104</v>
      </c>
      <c r="B66">
        <v>1903</v>
      </c>
      <c r="C66" t="s">
        <v>35</v>
      </c>
      <c r="F66" t="s">
        <v>36</v>
      </c>
      <c r="G66">
        <v>390000000</v>
      </c>
      <c r="H66">
        <v>570000000</v>
      </c>
      <c r="I66">
        <v>10000000</v>
      </c>
      <c r="J66">
        <v>20000000</v>
      </c>
      <c r="K66">
        <v>20000000</v>
      </c>
      <c r="L66">
        <f t="shared" si="7"/>
        <v>234000000</v>
      </c>
      <c r="M66">
        <f t="shared" si="6"/>
        <v>126000000</v>
      </c>
      <c r="N66">
        <f t="shared" si="8"/>
        <v>156000000</v>
      </c>
    </row>
    <row r="67" spans="1:14" x14ac:dyDescent="0.4">
      <c r="A67">
        <v>104</v>
      </c>
      <c r="B67">
        <v>1904</v>
      </c>
      <c r="C67" t="s">
        <v>35</v>
      </c>
      <c r="F67" t="s">
        <v>36</v>
      </c>
      <c r="G67">
        <v>390000000</v>
      </c>
      <c r="H67">
        <v>570000000</v>
      </c>
      <c r="I67">
        <v>10000000</v>
      </c>
      <c r="J67">
        <v>20000000</v>
      </c>
      <c r="K67">
        <v>20000000</v>
      </c>
      <c r="L67">
        <f t="shared" si="7"/>
        <v>234000000</v>
      </c>
      <c r="M67">
        <f t="shared" si="6"/>
        <v>126000000</v>
      </c>
      <c r="N67">
        <f t="shared" si="8"/>
        <v>156000000</v>
      </c>
    </row>
    <row r="68" spans="1:14" x14ac:dyDescent="0.4">
      <c r="A68">
        <v>104</v>
      </c>
      <c r="B68">
        <v>2001</v>
      </c>
      <c r="C68" t="s">
        <v>35</v>
      </c>
      <c r="F68" t="s">
        <v>36</v>
      </c>
      <c r="G68">
        <v>390000000</v>
      </c>
      <c r="H68">
        <v>570000000</v>
      </c>
      <c r="I68">
        <v>10000000</v>
      </c>
      <c r="J68">
        <v>20000000</v>
      </c>
      <c r="K68">
        <v>20000000</v>
      </c>
      <c r="L68">
        <f t="shared" si="7"/>
        <v>234000000</v>
      </c>
      <c r="M68">
        <f t="shared" si="6"/>
        <v>126000000</v>
      </c>
      <c r="N68">
        <f t="shared" si="8"/>
        <v>156000000</v>
      </c>
    </row>
    <row r="69" spans="1:14" x14ac:dyDescent="0.4">
      <c r="A69">
        <v>104</v>
      </c>
      <c r="B69">
        <v>2002</v>
      </c>
      <c r="C69" t="s">
        <v>35</v>
      </c>
      <c r="F69" t="s">
        <v>36</v>
      </c>
      <c r="G69">
        <v>390000000</v>
      </c>
      <c r="H69">
        <v>570000000</v>
      </c>
      <c r="I69">
        <v>10000000</v>
      </c>
      <c r="J69">
        <v>20000000</v>
      </c>
      <c r="K69">
        <v>20000000</v>
      </c>
      <c r="L69">
        <f t="shared" si="7"/>
        <v>234000000</v>
      </c>
      <c r="M69">
        <f t="shared" si="6"/>
        <v>126000000</v>
      </c>
      <c r="N69">
        <f t="shared" si="8"/>
        <v>156000000</v>
      </c>
    </row>
    <row r="70" spans="1:14" x14ac:dyDescent="0.4">
      <c r="A70">
        <v>104</v>
      </c>
      <c r="B70">
        <v>2003</v>
      </c>
      <c r="C70" t="s">
        <v>35</v>
      </c>
      <c r="F70" t="s">
        <v>36</v>
      </c>
      <c r="G70">
        <v>390000000</v>
      </c>
      <c r="H70">
        <v>570000000</v>
      </c>
      <c r="I70">
        <v>10000000</v>
      </c>
      <c r="J70">
        <v>20000000</v>
      </c>
      <c r="K70">
        <v>20000000</v>
      </c>
      <c r="L70">
        <f t="shared" si="7"/>
        <v>234000000</v>
      </c>
      <c r="M70">
        <f t="shared" si="6"/>
        <v>126000000</v>
      </c>
      <c r="N70">
        <f t="shared" si="8"/>
        <v>156000000</v>
      </c>
    </row>
    <row r="71" spans="1:14" x14ac:dyDescent="0.4">
      <c r="A71">
        <v>104</v>
      </c>
      <c r="B71">
        <v>2004</v>
      </c>
      <c r="C71" t="s">
        <v>35</v>
      </c>
      <c r="F71" t="s">
        <v>36</v>
      </c>
      <c r="G71">
        <v>390000000</v>
      </c>
      <c r="H71">
        <v>570000000</v>
      </c>
      <c r="I71">
        <v>10000000</v>
      </c>
      <c r="J71">
        <v>20000000</v>
      </c>
      <c r="K71">
        <v>20000000</v>
      </c>
      <c r="L71">
        <f t="shared" si="7"/>
        <v>234000000</v>
      </c>
      <c r="M71">
        <f t="shared" si="6"/>
        <v>126000000</v>
      </c>
      <c r="N71">
        <f t="shared" si="8"/>
        <v>156000000</v>
      </c>
    </row>
    <row r="72" spans="1:14" x14ac:dyDescent="0.4">
      <c r="A72">
        <v>104</v>
      </c>
      <c r="B72">
        <v>2101</v>
      </c>
      <c r="C72" t="s">
        <v>35</v>
      </c>
      <c r="F72" t="s">
        <v>36</v>
      </c>
      <c r="G72">
        <v>397000000</v>
      </c>
      <c r="H72">
        <v>580000000</v>
      </c>
      <c r="I72">
        <v>10000000</v>
      </c>
      <c r="J72">
        <v>20000000</v>
      </c>
      <c r="K72">
        <v>20000000</v>
      </c>
      <c r="L72">
        <f t="shared" ref="L72" si="9">SUM(G72*60%)</f>
        <v>238200000</v>
      </c>
      <c r="M72">
        <f t="shared" si="6"/>
        <v>128800000</v>
      </c>
      <c r="N72">
        <f t="shared" ref="N72" si="10">SUM(G72-L72)</f>
        <v>158800000</v>
      </c>
    </row>
    <row r="73" spans="1:14" x14ac:dyDescent="0.4">
      <c r="A73">
        <v>104</v>
      </c>
      <c r="B73">
        <v>2102</v>
      </c>
      <c r="C73" t="s">
        <v>35</v>
      </c>
      <c r="F73" t="s">
        <v>36</v>
      </c>
      <c r="G73">
        <v>397000000</v>
      </c>
      <c r="H73">
        <v>580000000</v>
      </c>
      <c r="I73">
        <v>10000000</v>
      </c>
      <c r="J73">
        <v>20000000</v>
      </c>
      <c r="K73">
        <v>20000000</v>
      </c>
      <c r="L73">
        <f t="shared" ref="L73:L84" si="11">SUM(G73*60%)</f>
        <v>238200000</v>
      </c>
      <c r="M73">
        <f t="shared" si="6"/>
        <v>128800000</v>
      </c>
      <c r="N73">
        <f t="shared" ref="N73:N84" si="12">SUM(G73-L73)</f>
        <v>158800000</v>
      </c>
    </row>
    <row r="74" spans="1:14" x14ac:dyDescent="0.4">
      <c r="A74">
        <v>104</v>
      </c>
      <c r="B74">
        <v>2103</v>
      </c>
      <c r="C74" t="s">
        <v>35</v>
      </c>
      <c r="F74" t="s">
        <v>36</v>
      </c>
      <c r="G74">
        <v>397000000</v>
      </c>
      <c r="H74">
        <v>580000000</v>
      </c>
      <c r="I74">
        <v>10000000</v>
      </c>
      <c r="J74">
        <v>20000000</v>
      </c>
      <c r="K74">
        <v>20000000</v>
      </c>
      <c r="L74">
        <f t="shared" si="11"/>
        <v>238200000</v>
      </c>
      <c r="M74">
        <f t="shared" si="6"/>
        <v>128800000</v>
      </c>
      <c r="N74">
        <f t="shared" si="12"/>
        <v>158800000</v>
      </c>
    </row>
    <row r="75" spans="1:14" x14ac:dyDescent="0.4">
      <c r="A75">
        <v>104</v>
      </c>
      <c r="B75">
        <v>2104</v>
      </c>
      <c r="C75" t="s">
        <v>35</v>
      </c>
      <c r="F75" t="s">
        <v>36</v>
      </c>
      <c r="G75">
        <v>397000000</v>
      </c>
      <c r="H75">
        <v>580000000</v>
      </c>
      <c r="I75">
        <v>10000000</v>
      </c>
      <c r="J75">
        <v>20000000</v>
      </c>
      <c r="K75">
        <v>20000000</v>
      </c>
      <c r="L75">
        <f t="shared" si="11"/>
        <v>238200000</v>
      </c>
      <c r="M75">
        <f t="shared" si="6"/>
        <v>128800000</v>
      </c>
      <c r="N75">
        <f t="shared" si="12"/>
        <v>158800000</v>
      </c>
    </row>
    <row r="76" spans="1:14" x14ac:dyDescent="0.4">
      <c r="A76">
        <v>104</v>
      </c>
      <c r="B76">
        <v>2201</v>
      </c>
      <c r="C76" t="s">
        <v>35</v>
      </c>
      <c r="F76" t="s">
        <v>36</v>
      </c>
      <c r="G76">
        <v>397000000</v>
      </c>
      <c r="H76">
        <v>580000000</v>
      </c>
      <c r="I76">
        <v>10000000</v>
      </c>
      <c r="J76">
        <v>20000000</v>
      </c>
      <c r="K76">
        <v>20000000</v>
      </c>
      <c r="L76">
        <f t="shared" si="11"/>
        <v>238200000</v>
      </c>
      <c r="M76">
        <f t="shared" si="6"/>
        <v>128800000</v>
      </c>
      <c r="N76">
        <f t="shared" si="12"/>
        <v>158800000</v>
      </c>
    </row>
    <row r="77" spans="1:14" x14ac:dyDescent="0.4">
      <c r="A77">
        <v>104</v>
      </c>
      <c r="B77">
        <v>2202</v>
      </c>
      <c r="C77" t="s">
        <v>35</v>
      </c>
      <c r="F77" t="s">
        <v>36</v>
      </c>
      <c r="G77">
        <v>397000000</v>
      </c>
      <c r="H77">
        <v>580000000</v>
      </c>
      <c r="I77">
        <v>10000000</v>
      </c>
      <c r="J77">
        <v>20000000</v>
      </c>
      <c r="K77">
        <v>20000000</v>
      </c>
      <c r="L77">
        <f t="shared" si="11"/>
        <v>238200000</v>
      </c>
      <c r="M77">
        <f t="shared" si="6"/>
        <v>128800000</v>
      </c>
      <c r="N77">
        <f t="shared" si="12"/>
        <v>158800000</v>
      </c>
    </row>
    <row r="78" spans="1:14" x14ac:dyDescent="0.4">
      <c r="A78">
        <v>104</v>
      </c>
      <c r="B78">
        <v>2203</v>
      </c>
      <c r="C78" t="s">
        <v>35</v>
      </c>
      <c r="F78" t="s">
        <v>36</v>
      </c>
      <c r="G78">
        <v>397000000</v>
      </c>
      <c r="H78">
        <v>580000000</v>
      </c>
      <c r="I78">
        <v>10000000</v>
      </c>
      <c r="J78">
        <v>20000000</v>
      </c>
      <c r="K78">
        <v>20000000</v>
      </c>
      <c r="L78">
        <f t="shared" si="11"/>
        <v>238200000</v>
      </c>
      <c r="M78">
        <f t="shared" si="6"/>
        <v>128800000</v>
      </c>
      <c r="N78">
        <f t="shared" si="12"/>
        <v>158800000</v>
      </c>
    </row>
    <row r="79" spans="1:14" x14ac:dyDescent="0.4">
      <c r="A79">
        <v>104</v>
      </c>
      <c r="B79">
        <v>2204</v>
      </c>
      <c r="C79" t="s">
        <v>35</v>
      </c>
      <c r="F79" t="s">
        <v>36</v>
      </c>
      <c r="G79">
        <v>397000000</v>
      </c>
      <c r="H79">
        <v>580000000</v>
      </c>
      <c r="I79">
        <v>10000000</v>
      </c>
      <c r="J79">
        <v>20000000</v>
      </c>
      <c r="K79">
        <v>20000000</v>
      </c>
      <c r="L79">
        <f t="shared" si="11"/>
        <v>238200000</v>
      </c>
      <c r="M79">
        <f t="shared" si="6"/>
        <v>128800000</v>
      </c>
      <c r="N79">
        <f t="shared" si="12"/>
        <v>158800000</v>
      </c>
    </row>
    <row r="80" spans="1:14" x14ac:dyDescent="0.4">
      <c r="A80">
        <v>104</v>
      </c>
      <c r="B80">
        <v>2301</v>
      </c>
      <c r="C80" t="s">
        <v>35</v>
      </c>
      <c r="F80" t="s">
        <v>36</v>
      </c>
      <c r="G80">
        <v>397000000</v>
      </c>
      <c r="H80">
        <v>580000000</v>
      </c>
      <c r="I80">
        <v>10000000</v>
      </c>
      <c r="J80">
        <v>20000000</v>
      </c>
      <c r="K80">
        <v>20000000</v>
      </c>
      <c r="L80">
        <f t="shared" si="11"/>
        <v>238200000</v>
      </c>
      <c r="M80">
        <f t="shared" si="6"/>
        <v>128800000</v>
      </c>
      <c r="N80">
        <f t="shared" si="12"/>
        <v>158800000</v>
      </c>
    </row>
    <row r="81" spans="1:14" x14ac:dyDescent="0.4">
      <c r="A81">
        <v>104</v>
      </c>
      <c r="B81">
        <v>2302</v>
      </c>
      <c r="C81" t="s">
        <v>35</v>
      </c>
      <c r="F81" t="s">
        <v>36</v>
      </c>
      <c r="G81">
        <v>397000000</v>
      </c>
      <c r="H81">
        <v>580000000</v>
      </c>
      <c r="I81">
        <v>10000000</v>
      </c>
      <c r="J81">
        <v>20000000</v>
      </c>
      <c r="K81">
        <v>20000000</v>
      </c>
      <c r="L81">
        <f t="shared" si="11"/>
        <v>238200000</v>
      </c>
      <c r="M81">
        <f t="shared" si="6"/>
        <v>128800000</v>
      </c>
      <c r="N81">
        <f t="shared" si="12"/>
        <v>158800000</v>
      </c>
    </row>
    <row r="82" spans="1:14" x14ac:dyDescent="0.4">
      <c r="A82">
        <v>104</v>
      </c>
      <c r="B82">
        <v>2303</v>
      </c>
      <c r="C82" t="s">
        <v>35</v>
      </c>
      <c r="F82" t="s">
        <v>36</v>
      </c>
      <c r="G82">
        <v>397000000</v>
      </c>
      <c r="H82">
        <v>580000000</v>
      </c>
      <c r="I82">
        <v>10000000</v>
      </c>
      <c r="J82">
        <v>20000000</v>
      </c>
      <c r="K82">
        <v>20000000</v>
      </c>
      <c r="L82">
        <f t="shared" si="11"/>
        <v>238200000</v>
      </c>
      <c r="M82">
        <f t="shared" si="6"/>
        <v>128800000</v>
      </c>
      <c r="N82">
        <f t="shared" si="12"/>
        <v>158800000</v>
      </c>
    </row>
    <row r="83" spans="1:14" x14ac:dyDescent="0.4">
      <c r="A83">
        <v>104</v>
      </c>
      <c r="B83">
        <v>2304</v>
      </c>
      <c r="C83" t="s">
        <v>35</v>
      </c>
      <c r="F83" t="s">
        <v>36</v>
      </c>
      <c r="G83">
        <v>397000000</v>
      </c>
      <c r="H83">
        <v>580000000</v>
      </c>
      <c r="I83">
        <v>10000000</v>
      </c>
      <c r="J83">
        <v>20000000</v>
      </c>
      <c r="K83">
        <v>20000000</v>
      </c>
      <c r="L83">
        <f t="shared" si="11"/>
        <v>238200000</v>
      </c>
      <c r="M83">
        <f t="shared" si="6"/>
        <v>128800000</v>
      </c>
      <c r="N83">
        <f t="shared" si="12"/>
        <v>158800000</v>
      </c>
    </row>
    <row r="84" spans="1:14" x14ac:dyDescent="0.4">
      <c r="A84">
        <v>104</v>
      </c>
      <c r="B84">
        <v>2401</v>
      </c>
      <c r="C84" t="s">
        <v>35</v>
      </c>
      <c r="F84" t="s">
        <v>36</v>
      </c>
      <c r="G84">
        <v>397000000</v>
      </c>
      <c r="H84">
        <v>595000000</v>
      </c>
      <c r="I84">
        <v>10000000</v>
      </c>
      <c r="J84">
        <v>20000000</v>
      </c>
      <c r="K84">
        <v>20000000</v>
      </c>
      <c r="L84">
        <f t="shared" si="11"/>
        <v>238200000</v>
      </c>
      <c r="M84">
        <f t="shared" si="6"/>
        <v>128800000</v>
      </c>
      <c r="N84">
        <f t="shared" si="12"/>
        <v>158800000</v>
      </c>
    </row>
    <row r="85" spans="1:14" x14ac:dyDescent="0.4">
      <c r="A85">
        <v>104</v>
      </c>
      <c r="B85">
        <v>2402</v>
      </c>
      <c r="C85" t="s">
        <v>35</v>
      </c>
      <c r="F85" t="s">
        <v>36</v>
      </c>
      <c r="G85">
        <v>397000000</v>
      </c>
      <c r="H85">
        <v>595000000</v>
      </c>
      <c r="I85">
        <v>10000000</v>
      </c>
      <c r="J85">
        <v>20000000</v>
      </c>
      <c r="K85">
        <v>20000000</v>
      </c>
      <c r="L85">
        <f t="shared" ref="L85:L96" si="13">SUM(G85*60%)</f>
        <v>238200000</v>
      </c>
      <c r="M85">
        <f t="shared" si="6"/>
        <v>128800000</v>
      </c>
      <c r="N85">
        <f t="shared" ref="N85:N96" si="14">SUM(G85-L85)</f>
        <v>158800000</v>
      </c>
    </row>
    <row r="86" spans="1:14" x14ac:dyDescent="0.4">
      <c r="A86">
        <v>104</v>
      </c>
      <c r="B86">
        <v>2403</v>
      </c>
      <c r="C86" t="s">
        <v>35</v>
      </c>
      <c r="F86" t="s">
        <v>36</v>
      </c>
      <c r="G86">
        <v>397000000</v>
      </c>
      <c r="H86">
        <v>595000000</v>
      </c>
      <c r="I86">
        <v>10000000</v>
      </c>
      <c r="J86">
        <v>20000000</v>
      </c>
      <c r="K86">
        <v>20000000</v>
      </c>
      <c r="L86">
        <f t="shared" si="13"/>
        <v>238200000</v>
      </c>
      <c r="M86">
        <f t="shared" si="6"/>
        <v>128800000</v>
      </c>
      <c r="N86">
        <f t="shared" si="14"/>
        <v>158800000</v>
      </c>
    </row>
    <row r="87" spans="1:14" x14ac:dyDescent="0.4">
      <c r="A87">
        <v>104</v>
      </c>
      <c r="B87">
        <v>2404</v>
      </c>
      <c r="C87" t="s">
        <v>35</v>
      </c>
      <c r="F87" t="s">
        <v>36</v>
      </c>
      <c r="G87">
        <v>397000000</v>
      </c>
      <c r="H87">
        <v>595000000</v>
      </c>
      <c r="I87">
        <v>10000000</v>
      </c>
      <c r="J87">
        <v>20000000</v>
      </c>
      <c r="K87">
        <v>20000000</v>
      </c>
      <c r="L87">
        <f t="shared" si="13"/>
        <v>238200000</v>
      </c>
      <c r="M87">
        <f t="shared" si="6"/>
        <v>128800000</v>
      </c>
      <c r="N87">
        <f t="shared" si="14"/>
        <v>158800000</v>
      </c>
    </row>
    <row r="88" spans="1:14" x14ac:dyDescent="0.4">
      <c r="A88">
        <v>104</v>
      </c>
      <c r="B88">
        <v>2501</v>
      </c>
      <c r="C88" t="s">
        <v>35</v>
      </c>
      <c r="F88" t="s">
        <v>36</v>
      </c>
      <c r="G88">
        <v>397000000</v>
      </c>
      <c r="H88">
        <v>595000000</v>
      </c>
      <c r="I88">
        <v>10000000</v>
      </c>
      <c r="J88">
        <v>20000000</v>
      </c>
      <c r="K88">
        <v>20000000</v>
      </c>
      <c r="L88">
        <f t="shared" si="13"/>
        <v>238200000</v>
      </c>
      <c r="M88">
        <f t="shared" si="6"/>
        <v>128800000</v>
      </c>
      <c r="N88">
        <f t="shared" si="14"/>
        <v>158800000</v>
      </c>
    </row>
    <row r="89" spans="1:14" x14ac:dyDescent="0.4">
      <c r="A89">
        <v>104</v>
      </c>
      <c r="B89">
        <v>2502</v>
      </c>
      <c r="C89" t="s">
        <v>35</v>
      </c>
      <c r="F89" t="s">
        <v>36</v>
      </c>
      <c r="G89">
        <v>397000000</v>
      </c>
      <c r="H89">
        <v>595000000</v>
      </c>
      <c r="I89">
        <v>10000000</v>
      </c>
      <c r="J89">
        <v>20000000</v>
      </c>
      <c r="K89">
        <v>20000000</v>
      </c>
      <c r="L89">
        <f t="shared" si="13"/>
        <v>238200000</v>
      </c>
      <c r="M89">
        <f t="shared" si="6"/>
        <v>128800000</v>
      </c>
      <c r="N89">
        <f t="shared" si="14"/>
        <v>158800000</v>
      </c>
    </row>
    <row r="90" spans="1:14" x14ac:dyDescent="0.4">
      <c r="A90">
        <v>104</v>
      </c>
      <c r="B90">
        <v>2503</v>
      </c>
      <c r="C90" t="s">
        <v>35</v>
      </c>
      <c r="F90" t="s">
        <v>36</v>
      </c>
      <c r="G90">
        <v>397000000</v>
      </c>
      <c r="H90">
        <v>595000000</v>
      </c>
      <c r="I90">
        <v>10000000</v>
      </c>
      <c r="J90">
        <v>20000000</v>
      </c>
      <c r="K90">
        <v>20000000</v>
      </c>
      <c r="L90">
        <f t="shared" si="13"/>
        <v>238200000</v>
      </c>
      <c r="M90">
        <f t="shared" si="6"/>
        <v>128800000</v>
      </c>
      <c r="N90">
        <f t="shared" si="14"/>
        <v>158800000</v>
      </c>
    </row>
    <row r="91" spans="1:14" x14ac:dyDescent="0.4">
      <c r="A91">
        <v>104</v>
      </c>
      <c r="B91">
        <v>2504</v>
      </c>
      <c r="C91" t="s">
        <v>35</v>
      </c>
      <c r="F91" t="s">
        <v>36</v>
      </c>
      <c r="G91">
        <v>397000000</v>
      </c>
      <c r="H91">
        <v>595000000</v>
      </c>
      <c r="I91">
        <v>10000000</v>
      </c>
      <c r="J91">
        <v>20000000</v>
      </c>
      <c r="K91">
        <v>20000000</v>
      </c>
      <c r="L91">
        <f t="shared" si="13"/>
        <v>238200000</v>
      </c>
      <c r="M91">
        <f t="shared" si="6"/>
        <v>128800000</v>
      </c>
      <c r="N91">
        <f t="shared" si="14"/>
        <v>158800000</v>
      </c>
    </row>
    <row r="92" spans="1:14" x14ac:dyDescent="0.4">
      <c r="A92">
        <v>104</v>
      </c>
      <c r="B92">
        <v>2601</v>
      </c>
      <c r="C92" t="s">
        <v>35</v>
      </c>
      <c r="F92" t="s">
        <v>36</v>
      </c>
      <c r="G92">
        <v>397000000</v>
      </c>
      <c r="H92">
        <v>595000000</v>
      </c>
      <c r="I92">
        <v>10000000</v>
      </c>
      <c r="J92">
        <v>20000000</v>
      </c>
      <c r="K92">
        <v>20000000</v>
      </c>
      <c r="L92">
        <f t="shared" si="13"/>
        <v>238200000</v>
      </c>
      <c r="M92">
        <f t="shared" si="6"/>
        <v>128800000</v>
      </c>
      <c r="N92">
        <f t="shared" si="14"/>
        <v>158800000</v>
      </c>
    </row>
    <row r="93" spans="1:14" x14ac:dyDescent="0.4">
      <c r="A93">
        <v>104</v>
      </c>
      <c r="B93">
        <v>2602</v>
      </c>
      <c r="C93" t="s">
        <v>35</v>
      </c>
      <c r="F93" t="s">
        <v>36</v>
      </c>
      <c r="G93">
        <v>397000000</v>
      </c>
      <c r="H93">
        <v>595000000</v>
      </c>
      <c r="I93">
        <v>10000000</v>
      </c>
      <c r="J93">
        <v>20000000</v>
      </c>
      <c r="K93">
        <v>20000000</v>
      </c>
      <c r="L93">
        <f t="shared" si="13"/>
        <v>238200000</v>
      </c>
      <c r="M93">
        <f t="shared" si="6"/>
        <v>128800000</v>
      </c>
      <c r="N93">
        <f t="shared" si="14"/>
        <v>158800000</v>
      </c>
    </row>
    <row r="94" spans="1:14" x14ac:dyDescent="0.4">
      <c r="A94">
        <v>104</v>
      </c>
      <c r="B94">
        <v>2603</v>
      </c>
      <c r="C94" t="s">
        <v>35</v>
      </c>
      <c r="F94" t="s">
        <v>36</v>
      </c>
      <c r="G94">
        <v>397000000</v>
      </c>
      <c r="H94">
        <v>595000000</v>
      </c>
      <c r="I94">
        <v>10000000</v>
      </c>
      <c r="J94">
        <v>20000000</v>
      </c>
      <c r="K94">
        <v>20000000</v>
      </c>
      <c r="L94">
        <f t="shared" si="13"/>
        <v>238200000</v>
      </c>
      <c r="M94">
        <f t="shared" si="6"/>
        <v>128800000</v>
      </c>
      <c r="N94">
        <f t="shared" si="14"/>
        <v>158800000</v>
      </c>
    </row>
    <row r="95" spans="1:14" x14ac:dyDescent="0.4">
      <c r="A95">
        <v>104</v>
      </c>
      <c r="B95">
        <v>2604</v>
      </c>
      <c r="C95" t="s">
        <v>35</v>
      </c>
      <c r="F95" t="s">
        <v>36</v>
      </c>
      <c r="G95">
        <v>397000000</v>
      </c>
      <c r="H95">
        <v>595000000</v>
      </c>
      <c r="I95">
        <v>10000000</v>
      </c>
      <c r="J95">
        <v>20000000</v>
      </c>
      <c r="K95">
        <v>20000000</v>
      </c>
      <c r="L95">
        <f t="shared" si="13"/>
        <v>238200000</v>
      </c>
      <c r="M95">
        <f t="shared" si="6"/>
        <v>128800000</v>
      </c>
      <c r="N95">
        <f t="shared" si="14"/>
        <v>158800000</v>
      </c>
    </row>
    <row r="96" spans="1:14" x14ac:dyDescent="0.4">
      <c r="A96">
        <v>105</v>
      </c>
      <c r="B96">
        <v>101</v>
      </c>
      <c r="C96" t="s">
        <v>35</v>
      </c>
      <c r="F96" t="s">
        <v>36</v>
      </c>
      <c r="G96">
        <v>363000000</v>
      </c>
      <c r="H96">
        <v>525000000</v>
      </c>
      <c r="I96">
        <v>10000000</v>
      </c>
      <c r="J96">
        <v>20000000</v>
      </c>
      <c r="K96">
        <v>20000000</v>
      </c>
      <c r="L96">
        <f t="shared" si="13"/>
        <v>217800000</v>
      </c>
      <c r="M96">
        <f t="shared" si="6"/>
        <v>115200000</v>
      </c>
      <c r="N96">
        <f t="shared" si="14"/>
        <v>145200000</v>
      </c>
    </row>
    <row r="97" spans="1:14" x14ac:dyDescent="0.4">
      <c r="A97">
        <v>105</v>
      </c>
      <c r="B97">
        <v>102</v>
      </c>
      <c r="C97" t="s">
        <v>35</v>
      </c>
      <c r="F97" t="s">
        <v>36</v>
      </c>
      <c r="G97">
        <v>363000000</v>
      </c>
      <c r="H97">
        <v>525000000</v>
      </c>
      <c r="I97">
        <v>10000000</v>
      </c>
      <c r="J97">
        <v>20000000</v>
      </c>
      <c r="K97">
        <v>20000000</v>
      </c>
      <c r="L97">
        <f t="shared" ref="L97:L100" si="15">SUM(G97*60%)</f>
        <v>217800000</v>
      </c>
      <c r="M97">
        <f t="shared" si="6"/>
        <v>115200000</v>
      </c>
      <c r="N97">
        <f t="shared" ref="N97:N100" si="16">SUM(G97-L97)</f>
        <v>145200000</v>
      </c>
    </row>
    <row r="98" spans="1:14" x14ac:dyDescent="0.4">
      <c r="A98">
        <v>105</v>
      </c>
      <c r="B98">
        <v>103</v>
      </c>
      <c r="C98" t="s">
        <v>35</v>
      </c>
      <c r="F98" t="s">
        <v>36</v>
      </c>
      <c r="G98">
        <v>363000000</v>
      </c>
      <c r="H98">
        <v>525000000</v>
      </c>
      <c r="I98">
        <v>10000000</v>
      </c>
      <c r="J98">
        <v>20000000</v>
      </c>
      <c r="K98">
        <v>20000000</v>
      </c>
      <c r="L98">
        <f t="shared" si="15"/>
        <v>217800000</v>
      </c>
      <c r="M98">
        <f t="shared" si="6"/>
        <v>115200000</v>
      </c>
      <c r="N98">
        <f t="shared" si="16"/>
        <v>145200000</v>
      </c>
    </row>
    <row r="99" spans="1:14" x14ac:dyDescent="0.4">
      <c r="A99">
        <v>105</v>
      </c>
      <c r="B99">
        <v>104</v>
      </c>
      <c r="C99" t="s">
        <v>35</v>
      </c>
      <c r="F99" t="s">
        <v>36</v>
      </c>
      <c r="G99">
        <v>363000000</v>
      </c>
      <c r="H99">
        <v>525000000</v>
      </c>
      <c r="I99">
        <v>10000000</v>
      </c>
      <c r="J99">
        <v>20000000</v>
      </c>
      <c r="K99">
        <v>20000000</v>
      </c>
      <c r="L99">
        <f t="shared" si="15"/>
        <v>217800000</v>
      </c>
      <c r="M99">
        <f t="shared" si="6"/>
        <v>115200000</v>
      </c>
      <c r="N99">
        <f t="shared" si="16"/>
        <v>145200000</v>
      </c>
    </row>
    <row r="100" spans="1:14" x14ac:dyDescent="0.4">
      <c r="A100">
        <v>105</v>
      </c>
      <c r="B100">
        <v>201</v>
      </c>
      <c r="C100" t="s">
        <v>35</v>
      </c>
      <c r="F100" t="s">
        <v>36</v>
      </c>
      <c r="G100">
        <v>374000000</v>
      </c>
      <c r="H100">
        <v>530000000</v>
      </c>
      <c r="I100">
        <v>10000000</v>
      </c>
      <c r="J100">
        <v>20000000</v>
      </c>
      <c r="K100">
        <v>20000000</v>
      </c>
      <c r="L100">
        <f t="shared" si="15"/>
        <v>224400000</v>
      </c>
      <c r="M100">
        <f t="shared" si="6"/>
        <v>119600000</v>
      </c>
      <c r="N100">
        <f t="shared" si="16"/>
        <v>149600000</v>
      </c>
    </row>
    <row r="101" spans="1:14" x14ac:dyDescent="0.4">
      <c r="A101">
        <v>105</v>
      </c>
      <c r="B101">
        <v>202</v>
      </c>
      <c r="C101" t="s">
        <v>35</v>
      </c>
      <c r="F101" t="s">
        <v>36</v>
      </c>
      <c r="G101">
        <v>374000000</v>
      </c>
      <c r="H101">
        <v>530000000</v>
      </c>
      <c r="I101">
        <v>10000000</v>
      </c>
      <c r="J101">
        <v>20000000</v>
      </c>
      <c r="K101">
        <v>20000000</v>
      </c>
      <c r="L101">
        <f t="shared" ref="L101:L104" si="17">SUM(G101*60%)</f>
        <v>224400000</v>
      </c>
      <c r="M101">
        <f t="shared" si="6"/>
        <v>119600000</v>
      </c>
      <c r="N101">
        <f t="shared" ref="N101:N104" si="18">SUM(G101-L101)</f>
        <v>149600000</v>
      </c>
    </row>
    <row r="102" spans="1:14" x14ac:dyDescent="0.4">
      <c r="A102">
        <v>105</v>
      </c>
      <c r="B102">
        <v>203</v>
      </c>
      <c r="C102" t="s">
        <v>35</v>
      </c>
      <c r="F102" t="s">
        <v>36</v>
      </c>
      <c r="G102">
        <v>374000000</v>
      </c>
      <c r="H102">
        <v>530000000</v>
      </c>
      <c r="I102">
        <v>10000000</v>
      </c>
      <c r="J102">
        <v>20000000</v>
      </c>
      <c r="K102">
        <v>20000000</v>
      </c>
      <c r="L102">
        <f t="shared" si="17"/>
        <v>224400000</v>
      </c>
      <c r="M102">
        <f t="shared" si="6"/>
        <v>119600000</v>
      </c>
      <c r="N102">
        <f t="shared" si="18"/>
        <v>149600000</v>
      </c>
    </row>
    <row r="103" spans="1:14" x14ac:dyDescent="0.4">
      <c r="A103">
        <v>105</v>
      </c>
      <c r="B103">
        <v>204</v>
      </c>
      <c r="C103" t="s">
        <v>35</v>
      </c>
      <c r="F103" t="s">
        <v>36</v>
      </c>
      <c r="G103">
        <v>374000000</v>
      </c>
      <c r="H103">
        <v>530000000</v>
      </c>
      <c r="I103">
        <v>10000000</v>
      </c>
      <c r="J103">
        <v>20000000</v>
      </c>
      <c r="K103">
        <v>20000000</v>
      </c>
      <c r="L103">
        <f t="shared" si="17"/>
        <v>224400000</v>
      </c>
      <c r="M103">
        <f t="shared" si="6"/>
        <v>119600000</v>
      </c>
      <c r="N103">
        <f t="shared" si="18"/>
        <v>149600000</v>
      </c>
    </row>
    <row r="104" spans="1:14" x14ac:dyDescent="0.4">
      <c r="A104">
        <v>105</v>
      </c>
      <c r="B104">
        <v>301</v>
      </c>
      <c r="C104" t="s">
        <v>35</v>
      </c>
      <c r="F104" t="s">
        <v>36</v>
      </c>
      <c r="G104">
        <v>374000000</v>
      </c>
      <c r="H104">
        <v>535000000</v>
      </c>
      <c r="I104">
        <v>10000000</v>
      </c>
      <c r="J104">
        <v>20000000</v>
      </c>
      <c r="K104">
        <v>20000000</v>
      </c>
      <c r="L104">
        <f t="shared" si="17"/>
        <v>224400000</v>
      </c>
      <c r="M104">
        <f t="shared" si="6"/>
        <v>119600000</v>
      </c>
      <c r="N104">
        <f t="shared" si="18"/>
        <v>149600000</v>
      </c>
    </row>
    <row r="105" spans="1:14" x14ac:dyDescent="0.4">
      <c r="A105">
        <v>105</v>
      </c>
      <c r="B105">
        <v>302</v>
      </c>
      <c r="C105" t="s">
        <v>35</v>
      </c>
      <c r="F105" t="s">
        <v>36</v>
      </c>
      <c r="G105">
        <v>374000000</v>
      </c>
      <c r="H105">
        <v>535000000</v>
      </c>
      <c r="I105">
        <v>10000000</v>
      </c>
      <c r="J105">
        <v>20000000</v>
      </c>
      <c r="K105">
        <v>20000000</v>
      </c>
      <c r="L105">
        <f t="shared" ref="L105:L109" si="19">SUM(G105*60%)</f>
        <v>224400000</v>
      </c>
      <c r="M105">
        <f t="shared" si="6"/>
        <v>119600000</v>
      </c>
      <c r="N105">
        <f t="shared" ref="N105:N109" si="20">SUM(G105-L105)</f>
        <v>149600000</v>
      </c>
    </row>
    <row r="106" spans="1:14" x14ac:dyDescent="0.4">
      <c r="A106">
        <v>105</v>
      </c>
      <c r="B106">
        <v>303</v>
      </c>
      <c r="C106" t="s">
        <v>35</v>
      </c>
      <c r="F106" t="s">
        <v>36</v>
      </c>
      <c r="G106">
        <v>374000000</v>
      </c>
      <c r="H106">
        <v>535000000</v>
      </c>
      <c r="I106">
        <v>10000000</v>
      </c>
      <c r="J106">
        <v>20000000</v>
      </c>
      <c r="K106">
        <v>20000000</v>
      </c>
      <c r="L106">
        <f t="shared" si="19"/>
        <v>224400000</v>
      </c>
      <c r="M106">
        <f t="shared" si="6"/>
        <v>119600000</v>
      </c>
      <c r="N106">
        <f t="shared" si="20"/>
        <v>149600000</v>
      </c>
    </row>
    <row r="107" spans="1:14" x14ac:dyDescent="0.4">
      <c r="A107">
        <v>105</v>
      </c>
      <c r="B107">
        <v>304</v>
      </c>
      <c r="C107" t="s">
        <v>35</v>
      </c>
      <c r="F107" t="s">
        <v>36</v>
      </c>
      <c r="G107">
        <v>374000000</v>
      </c>
      <c r="H107">
        <v>535000000</v>
      </c>
      <c r="I107">
        <v>10000000</v>
      </c>
      <c r="J107">
        <v>20000000</v>
      </c>
      <c r="K107">
        <v>20000000</v>
      </c>
      <c r="L107">
        <f t="shared" si="19"/>
        <v>224400000</v>
      </c>
      <c r="M107">
        <f t="shared" si="6"/>
        <v>119600000</v>
      </c>
      <c r="N107">
        <f t="shared" si="20"/>
        <v>149600000</v>
      </c>
    </row>
    <row r="108" spans="1:14" x14ac:dyDescent="0.4">
      <c r="A108">
        <v>105</v>
      </c>
      <c r="B108">
        <v>401</v>
      </c>
      <c r="C108" t="s">
        <v>35</v>
      </c>
      <c r="F108" t="s">
        <v>36</v>
      </c>
      <c r="G108">
        <v>382000000</v>
      </c>
      <c r="H108">
        <v>540000000</v>
      </c>
      <c r="I108">
        <v>10000000</v>
      </c>
      <c r="J108">
        <v>20000000</v>
      </c>
      <c r="K108">
        <v>20000000</v>
      </c>
      <c r="L108">
        <f t="shared" si="19"/>
        <v>229200000</v>
      </c>
      <c r="M108">
        <f t="shared" si="6"/>
        <v>122800000</v>
      </c>
      <c r="N108">
        <f t="shared" si="20"/>
        <v>152800000</v>
      </c>
    </row>
    <row r="109" spans="1:14" x14ac:dyDescent="0.4">
      <c r="A109">
        <v>105</v>
      </c>
      <c r="B109">
        <v>402</v>
      </c>
      <c r="C109" t="s">
        <v>35</v>
      </c>
      <c r="F109" t="s">
        <v>36</v>
      </c>
      <c r="G109">
        <v>382000000</v>
      </c>
      <c r="H109">
        <v>540000000</v>
      </c>
      <c r="I109">
        <v>10000000</v>
      </c>
      <c r="J109">
        <v>20000000</v>
      </c>
      <c r="K109">
        <v>20000000</v>
      </c>
      <c r="L109">
        <f t="shared" si="19"/>
        <v>229200000</v>
      </c>
      <c r="M109">
        <f t="shared" si="6"/>
        <v>122800000</v>
      </c>
      <c r="N109">
        <f t="shared" si="20"/>
        <v>152800000</v>
      </c>
    </row>
    <row r="110" spans="1:14" x14ac:dyDescent="0.4">
      <c r="A110">
        <v>105</v>
      </c>
      <c r="B110">
        <v>403</v>
      </c>
      <c r="C110" t="s">
        <v>35</v>
      </c>
      <c r="F110" t="s">
        <v>36</v>
      </c>
      <c r="G110">
        <v>382000000</v>
      </c>
      <c r="H110">
        <v>540000000</v>
      </c>
      <c r="I110">
        <v>10000000</v>
      </c>
      <c r="J110">
        <v>20000000</v>
      </c>
      <c r="K110">
        <v>20000000</v>
      </c>
      <c r="L110">
        <f t="shared" ref="L110:L117" si="21">SUM(G110*60%)</f>
        <v>229200000</v>
      </c>
      <c r="M110">
        <f t="shared" si="6"/>
        <v>122800000</v>
      </c>
      <c r="N110">
        <f t="shared" ref="N110:N117" si="22">SUM(G110-L110)</f>
        <v>152800000</v>
      </c>
    </row>
    <row r="111" spans="1:14" x14ac:dyDescent="0.4">
      <c r="A111">
        <v>105</v>
      </c>
      <c r="B111">
        <v>404</v>
      </c>
      <c r="C111" t="s">
        <v>35</v>
      </c>
      <c r="F111" t="s">
        <v>36</v>
      </c>
      <c r="G111">
        <v>382000000</v>
      </c>
      <c r="H111">
        <v>540000000</v>
      </c>
      <c r="I111">
        <v>10000000</v>
      </c>
      <c r="J111">
        <v>20000000</v>
      </c>
      <c r="K111">
        <v>20000000</v>
      </c>
      <c r="L111">
        <f t="shared" si="21"/>
        <v>229200000</v>
      </c>
      <c r="M111">
        <f t="shared" si="6"/>
        <v>122800000</v>
      </c>
      <c r="N111">
        <f t="shared" si="22"/>
        <v>152800000</v>
      </c>
    </row>
    <row r="112" spans="1:14" x14ac:dyDescent="0.4">
      <c r="A112">
        <v>105</v>
      </c>
      <c r="B112">
        <v>501</v>
      </c>
      <c r="C112" t="s">
        <v>35</v>
      </c>
      <c r="F112" t="s">
        <v>36</v>
      </c>
      <c r="G112">
        <v>382000000</v>
      </c>
      <c r="H112">
        <v>540000000</v>
      </c>
      <c r="I112">
        <v>10000000</v>
      </c>
      <c r="J112">
        <v>20000000</v>
      </c>
      <c r="K112">
        <v>20000000</v>
      </c>
      <c r="L112">
        <f t="shared" si="21"/>
        <v>229200000</v>
      </c>
      <c r="M112">
        <f t="shared" si="6"/>
        <v>122800000</v>
      </c>
      <c r="N112">
        <f t="shared" si="22"/>
        <v>152800000</v>
      </c>
    </row>
    <row r="113" spans="1:14" x14ac:dyDescent="0.4">
      <c r="A113">
        <v>105</v>
      </c>
      <c r="B113">
        <v>502</v>
      </c>
      <c r="C113" t="s">
        <v>35</v>
      </c>
      <c r="F113" t="s">
        <v>36</v>
      </c>
      <c r="G113">
        <v>382000000</v>
      </c>
      <c r="H113">
        <v>540000000</v>
      </c>
      <c r="I113">
        <v>10000000</v>
      </c>
      <c r="J113">
        <v>20000000</v>
      </c>
      <c r="K113">
        <v>20000000</v>
      </c>
      <c r="L113">
        <f t="shared" si="21"/>
        <v>229200000</v>
      </c>
      <c r="M113">
        <f t="shared" si="6"/>
        <v>122800000</v>
      </c>
      <c r="N113">
        <f t="shared" si="22"/>
        <v>152800000</v>
      </c>
    </row>
    <row r="114" spans="1:14" x14ac:dyDescent="0.4">
      <c r="A114">
        <v>105</v>
      </c>
      <c r="B114">
        <v>503</v>
      </c>
      <c r="C114" t="s">
        <v>35</v>
      </c>
      <c r="F114" t="s">
        <v>36</v>
      </c>
      <c r="G114">
        <v>382000000</v>
      </c>
      <c r="H114">
        <v>540000000</v>
      </c>
      <c r="I114">
        <v>10000000</v>
      </c>
      <c r="J114">
        <v>20000000</v>
      </c>
      <c r="K114">
        <v>20000000</v>
      </c>
      <c r="L114">
        <f t="shared" si="21"/>
        <v>229200000</v>
      </c>
      <c r="M114">
        <f t="shared" si="6"/>
        <v>122800000</v>
      </c>
      <c r="N114">
        <f t="shared" si="22"/>
        <v>152800000</v>
      </c>
    </row>
    <row r="115" spans="1:14" x14ac:dyDescent="0.4">
      <c r="A115">
        <v>105</v>
      </c>
      <c r="B115">
        <v>504</v>
      </c>
      <c r="C115" t="s">
        <v>35</v>
      </c>
      <c r="F115" t="s">
        <v>36</v>
      </c>
      <c r="G115">
        <v>382000000</v>
      </c>
      <c r="H115">
        <v>540000000</v>
      </c>
      <c r="I115">
        <v>10000000</v>
      </c>
      <c r="J115">
        <v>20000000</v>
      </c>
      <c r="K115">
        <v>20000000</v>
      </c>
      <c r="L115">
        <f t="shared" si="21"/>
        <v>229200000</v>
      </c>
      <c r="M115">
        <f t="shared" si="6"/>
        <v>122800000</v>
      </c>
      <c r="N115">
        <f t="shared" si="22"/>
        <v>152800000</v>
      </c>
    </row>
    <row r="116" spans="1:14" x14ac:dyDescent="0.4">
      <c r="A116">
        <v>105</v>
      </c>
      <c r="C116" t="s">
        <v>37</v>
      </c>
      <c r="D116" t="s">
        <v>14</v>
      </c>
      <c r="E116" t="s">
        <v>11</v>
      </c>
    </row>
    <row r="117" spans="1:14" x14ac:dyDescent="0.4">
      <c r="A117">
        <v>105</v>
      </c>
      <c r="B117">
        <v>1701</v>
      </c>
      <c r="C117" t="s">
        <v>35</v>
      </c>
      <c r="F117" t="s">
        <v>36</v>
      </c>
      <c r="G117">
        <v>390000000</v>
      </c>
      <c r="H117">
        <v>570000000</v>
      </c>
      <c r="I117">
        <v>10000000</v>
      </c>
      <c r="J117">
        <v>20000000</v>
      </c>
      <c r="K117">
        <v>20000000</v>
      </c>
      <c r="L117">
        <f t="shared" si="21"/>
        <v>234000000</v>
      </c>
      <c r="M117">
        <f t="shared" ref="M117:M148" si="23">SUM(G117-L117-I117-K117)</f>
        <v>126000000</v>
      </c>
      <c r="N117">
        <f t="shared" si="22"/>
        <v>156000000</v>
      </c>
    </row>
    <row r="118" spans="1:14" x14ac:dyDescent="0.4">
      <c r="A118">
        <v>105</v>
      </c>
      <c r="B118">
        <v>1702</v>
      </c>
      <c r="C118" t="s">
        <v>35</v>
      </c>
      <c r="F118" t="s">
        <v>36</v>
      </c>
      <c r="G118">
        <v>390000000</v>
      </c>
      <c r="H118">
        <v>570000000</v>
      </c>
      <c r="I118">
        <v>10000000</v>
      </c>
      <c r="J118">
        <v>20000000</v>
      </c>
      <c r="K118">
        <v>20000000</v>
      </c>
      <c r="L118">
        <f t="shared" ref="L118:L133" si="24">SUM(G118*60%)</f>
        <v>234000000</v>
      </c>
      <c r="M118">
        <f t="shared" si="23"/>
        <v>126000000</v>
      </c>
      <c r="N118">
        <f t="shared" ref="N118:N133" si="25">SUM(G118-L118)</f>
        <v>156000000</v>
      </c>
    </row>
    <row r="119" spans="1:14" x14ac:dyDescent="0.4">
      <c r="A119">
        <v>105</v>
      </c>
      <c r="B119">
        <v>1703</v>
      </c>
      <c r="C119" t="s">
        <v>35</v>
      </c>
      <c r="F119" t="s">
        <v>36</v>
      </c>
      <c r="G119">
        <v>390000000</v>
      </c>
      <c r="H119">
        <v>570000000</v>
      </c>
      <c r="I119">
        <v>10000000</v>
      </c>
      <c r="J119">
        <v>20000000</v>
      </c>
      <c r="K119">
        <v>20000000</v>
      </c>
      <c r="L119">
        <f t="shared" si="24"/>
        <v>234000000</v>
      </c>
      <c r="M119">
        <f t="shared" si="23"/>
        <v>126000000</v>
      </c>
      <c r="N119">
        <f t="shared" si="25"/>
        <v>156000000</v>
      </c>
    </row>
    <row r="120" spans="1:14" x14ac:dyDescent="0.4">
      <c r="A120">
        <v>105</v>
      </c>
      <c r="B120">
        <v>1704</v>
      </c>
      <c r="C120" t="s">
        <v>35</v>
      </c>
      <c r="F120" t="s">
        <v>36</v>
      </c>
      <c r="G120">
        <v>390000000</v>
      </c>
      <c r="H120">
        <v>570000000</v>
      </c>
      <c r="I120">
        <v>10000000</v>
      </c>
      <c r="J120">
        <v>20000000</v>
      </c>
      <c r="K120">
        <v>20000000</v>
      </c>
      <c r="L120">
        <f t="shared" si="24"/>
        <v>234000000</v>
      </c>
      <c r="M120">
        <f t="shared" si="23"/>
        <v>126000000</v>
      </c>
      <c r="N120">
        <f t="shared" si="25"/>
        <v>156000000</v>
      </c>
    </row>
    <row r="121" spans="1:14" x14ac:dyDescent="0.4">
      <c r="A121">
        <v>105</v>
      </c>
      <c r="B121">
        <v>1801</v>
      </c>
      <c r="C121" t="s">
        <v>35</v>
      </c>
      <c r="F121" t="s">
        <v>36</v>
      </c>
      <c r="G121">
        <v>390000000</v>
      </c>
      <c r="H121">
        <v>570000000</v>
      </c>
      <c r="I121">
        <v>10000000</v>
      </c>
      <c r="J121">
        <v>20000000</v>
      </c>
      <c r="K121">
        <v>20000000</v>
      </c>
      <c r="L121">
        <f t="shared" si="24"/>
        <v>234000000</v>
      </c>
      <c r="M121">
        <f t="shared" si="23"/>
        <v>126000000</v>
      </c>
      <c r="N121">
        <f t="shared" si="25"/>
        <v>156000000</v>
      </c>
    </row>
    <row r="122" spans="1:14" x14ac:dyDescent="0.4">
      <c r="A122">
        <v>105</v>
      </c>
      <c r="B122">
        <v>1802</v>
      </c>
      <c r="C122" t="s">
        <v>35</v>
      </c>
      <c r="F122" t="s">
        <v>36</v>
      </c>
      <c r="G122">
        <v>390000000</v>
      </c>
      <c r="H122">
        <v>570000000</v>
      </c>
      <c r="I122">
        <v>10000000</v>
      </c>
      <c r="J122">
        <v>20000000</v>
      </c>
      <c r="K122">
        <v>20000000</v>
      </c>
      <c r="L122">
        <f t="shared" si="24"/>
        <v>234000000</v>
      </c>
      <c r="M122">
        <f t="shared" si="23"/>
        <v>126000000</v>
      </c>
      <c r="N122">
        <f t="shared" si="25"/>
        <v>156000000</v>
      </c>
    </row>
    <row r="123" spans="1:14" x14ac:dyDescent="0.4">
      <c r="A123">
        <v>105</v>
      </c>
      <c r="B123">
        <v>1803</v>
      </c>
      <c r="C123" t="s">
        <v>35</v>
      </c>
      <c r="F123" t="s">
        <v>36</v>
      </c>
      <c r="G123">
        <v>390000000</v>
      </c>
      <c r="H123">
        <v>570000000</v>
      </c>
      <c r="I123">
        <v>10000000</v>
      </c>
      <c r="J123">
        <v>20000000</v>
      </c>
      <c r="K123">
        <v>20000000</v>
      </c>
      <c r="L123">
        <f t="shared" si="24"/>
        <v>234000000</v>
      </c>
      <c r="M123">
        <f t="shared" si="23"/>
        <v>126000000</v>
      </c>
      <c r="N123">
        <f t="shared" si="25"/>
        <v>156000000</v>
      </c>
    </row>
    <row r="124" spans="1:14" x14ac:dyDescent="0.4">
      <c r="A124">
        <v>105</v>
      </c>
      <c r="B124">
        <v>1804</v>
      </c>
      <c r="C124" t="s">
        <v>35</v>
      </c>
      <c r="F124" t="s">
        <v>36</v>
      </c>
      <c r="G124">
        <v>390000000</v>
      </c>
      <c r="H124">
        <v>570000000</v>
      </c>
      <c r="I124">
        <v>10000000</v>
      </c>
      <c r="J124">
        <v>20000000</v>
      </c>
      <c r="K124">
        <v>20000000</v>
      </c>
      <c r="L124">
        <f t="shared" si="24"/>
        <v>234000000</v>
      </c>
      <c r="M124">
        <f t="shared" si="23"/>
        <v>126000000</v>
      </c>
      <c r="N124">
        <f t="shared" si="25"/>
        <v>156000000</v>
      </c>
    </row>
    <row r="125" spans="1:14" x14ac:dyDescent="0.4">
      <c r="A125">
        <v>105</v>
      </c>
      <c r="B125">
        <v>1901</v>
      </c>
      <c r="C125" t="s">
        <v>35</v>
      </c>
      <c r="F125" t="s">
        <v>36</v>
      </c>
      <c r="G125">
        <v>390000000</v>
      </c>
      <c r="H125">
        <v>570000000</v>
      </c>
      <c r="I125">
        <v>10000000</v>
      </c>
      <c r="J125">
        <v>20000000</v>
      </c>
      <c r="K125">
        <v>20000000</v>
      </c>
      <c r="L125">
        <f t="shared" si="24"/>
        <v>234000000</v>
      </c>
      <c r="M125">
        <f t="shared" si="23"/>
        <v>126000000</v>
      </c>
      <c r="N125">
        <f t="shared" si="25"/>
        <v>156000000</v>
      </c>
    </row>
    <row r="126" spans="1:14" x14ac:dyDescent="0.4">
      <c r="A126">
        <v>105</v>
      </c>
      <c r="B126">
        <v>1902</v>
      </c>
      <c r="C126" t="s">
        <v>35</v>
      </c>
      <c r="F126" t="s">
        <v>36</v>
      </c>
      <c r="G126">
        <v>390000000</v>
      </c>
      <c r="H126">
        <v>570000000</v>
      </c>
      <c r="I126">
        <v>10000000</v>
      </c>
      <c r="J126">
        <v>20000000</v>
      </c>
      <c r="K126">
        <v>20000000</v>
      </c>
      <c r="L126">
        <f t="shared" si="24"/>
        <v>234000000</v>
      </c>
      <c r="M126">
        <f t="shared" si="23"/>
        <v>126000000</v>
      </c>
      <c r="N126">
        <f t="shared" si="25"/>
        <v>156000000</v>
      </c>
    </row>
    <row r="127" spans="1:14" x14ac:dyDescent="0.4">
      <c r="A127">
        <v>105</v>
      </c>
      <c r="B127">
        <v>1903</v>
      </c>
      <c r="C127" t="s">
        <v>35</v>
      </c>
      <c r="F127" t="s">
        <v>36</v>
      </c>
      <c r="G127">
        <v>390000000</v>
      </c>
      <c r="H127">
        <v>570000000</v>
      </c>
      <c r="I127">
        <v>10000000</v>
      </c>
      <c r="J127">
        <v>20000000</v>
      </c>
      <c r="K127">
        <v>20000000</v>
      </c>
      <c r="L127">
        <f t="shared" si="24"/>
        <v>234000000</v>
      </c>
      <c r="M127">
        <f t="shared" si="23"/>
        <v>126000000</v>
      </c>
      <c r="N127">
        <f t="shared" si="25"/>
        <v>156000000</v>
      </c>
    </row>
    <row r="128" spans="1:14" x14ac:dyDescent="0.4">
      <c r="A128">
        <v>105</v>
      </c>
      <c r="B128">
        <v>1904</v>
      </c>
      <c r="C128" t="s">
        <v>35</v>
      </c>
      <c r="F128" t="s">
        <v>36</v>
      </c>
      <c r="G128">
        <v>390000000</v>
      </c>
      <c r="H128">
        <v>570000000</v>
      </c>
      <c r="I128">
        <v>10000000</v>
      </c>
      <c r="J128">
        <v>20000000</v>
      </c>
      <c r="K128">
        <v>20000000</v>
      </c>
      <c r="L128">
        <f t="shared" si="24"/>
        <v>234000000</v>
      </c>
      <c r="M128">
        <f t="shared" si="23"/>
        <v>126000000</v>
      </c>
      <c r="N128">
        <f t="shared" si="25"/>
        <v>156000000</v>
      </c>
    </row>
    <row r="129" spans="1:14" x14ac:dyDescent="0.4">
      <c r="A129">
        <v>105</v>
      </c>
      <c r="B129">
        <v>2001</v>
      </c>
      <c r="C129" t="s">
        <v>35</v>
      </c>
      <c r="F129" t="s">
        <v>36</v>
      </c>
      <c r="G129">
        <v>390000000</v>
      </c>
      <c r="H129">
        <v>570000000</v>
      </c>
      <c r="I129">
        <v>10000000</v>
      </c>
      <c r="J129">
        <v>20000000</v>
      </c>
      <c r="K129">
        <v>20000000</v>
      </c>
      <c r="L129">
        <f t="shared" si="24"/>
        <v>234000000</v>
      </c>
      <c r="M129">
        <f t="shared" si="23"/>
        <v>126000000</v>
      </c>
      <c r="N129">
        <f t="shared" si="25"/>
        <v>156000000</v>
      </c>
    </row>
    <row r="130" spans="1:14" x14ac:dyDescent="0.4">
      <c r="A130">
        <v>105</v>
      </c>
      <c r="B130">
        <v>2002</v>
      </c>
      <c r="C130" t="s">
        <v>35</v>
      </c>
      <c r="F130" t="s">
        <v>36</v>
      </c>
      <c r="G130">
        <v>390000000</v>
      </c>
      <c r="H130">
        <v>570000000</v>
      </c>
      <c r="I130">
        <v>10000000</v>
      </c>
      <c r="J130">
        <v>20000000</v>
      </c>
      <c r="K130">
        <v>20000000</v>
      </c>
      <c r="L130">
        <f t="shared" si="24"/>
        <v>234000000</v>
      </c>
      <c r="M130">
        <f t="shared" si="23"/>
        <v>126000000</v>
      </c>
      <c r="N130">
        <f t="shared" si="25"/>
        <v>156000000</v>
      </c>
    </row>
    <row r="131" spans="1:14" x14ac:dyDescent="0.4">
      <c r="A131">
        <v>105</v>
      </c>
      <c r="B131">
        <v>2003</v>
      </c>
      <c r="C131" t="s">
        <v>35</v>
      </c>
      <c r="F131" t="s">
        <v>36</v>
      </c>
      <c r="G131">
        <v>390000000</v>
      </c>
      <c r="H131">
        <v>570000000</v>
      </c>
      <c r="I131">
        <v>10000000</v>
      </c>
      <c r="J131">
        <v>20000000</v>
      </c>
      <c r="K131">
        <v>20000000</v>
      </c>
      <c r="L131">
        <f t="shared" si="24"/>
        <v>234000000</v>
      </c>
      <c r="M131">
        <f t="shared" si="23"/>
        <v>126000000</v>
      </c>
      <c r="N131">
        <f t="shared" si="25"/>
        <v>156000000</v>
      </c>
    </row>
    <row r="132" spans="1:14" x14ac:dyDescent="0.4">
      <c r="A132">
        <v>105</v>
      </c>
      <c r="B132">
        <v>2004</v>
      </c>
      <c r="C132" t="s">
        <v>35</v>
      </c>
      <c r="F132" t="s">
        <v>36</v>
      </c>
      <c r="G132">
        <v>390000000</v>
      </c>
      <c r="H132">
        <v>570000000</v>
      </c>
      <c r="I132">
        <v>10000000</v>
      </c>
      <c r="J132">
        <v>20000000</v>
      </c>
      <c r="K132">
        <v>20000000</v>
      </c>
      <c r="L132">
        <f t="shared" si="24"/>
        <v>234000000</v>
      </c>
      <c r="M132">
        <f t="shared" si="23"/>
        <v>126000000</v>
      </c>
      <c r="N132">
        <f t="shared" si="25"/>
        <v>156000000</v>
      </c>
    </row>
    <row r="133" spans="1:14" x14ac:dyDescent="0.4">
      <c r="A133">
        <v>105</v>
      </c>
      <c r="B133">
        <v>2101</v>
      </c>
      <c r="C133" t="s">
        <v>35</v>
      </c>
      <c r="F133" t="s">
        <v>36</v>
      </c>
      <c r="G133">
        <v>397000000</v>
      </c>
      <c r="H133">
        <v>580000000</v>
      </c>
      <c r="I133">
        <v>10000000</v>
      </c>
      <c r="J133">
        <v>20000000</v>
      </c>
      <c r="K133">
        <v>20000000</v>
      </c>
      <c r="L133">
        <f t="shared" si="24"/>
        <v>238200000</v>
      </c>
      <c r="M133">
        <f t="shared" si="23"/>
        <v>128800000</v>
      </c>
      <c r="N133">
        <f t="shared" si="25"/>
        <v>158800000</v>
      </c>
    </row>
    <row r="134" spans="1:14" x14ac:dyDescent="0.4">
      <c r="A134">
        <v>105</v>
      </c>
      <c r="B134">
        <v>2102</v>
      </c>
      <c r="C134" t="s">
        <v>35</v>
      </c>
      <c r="F134" t="s">
        <v>36</v>
      </c>
      <c r="G134">
        <v>397000000</v>
      </c>
      <c r="H134">
        <v>580000000</v>
      </c>
      <c r="I134">
        <v>10000000</v>
      </c>
      <c r="J134">
        <v>20000000</v>
      </c>
      <c r="K134">
        <v>20000000</v>
      </c>
      <c r="L134">
        <f t="shared" ref="L134:L145" si="26">SUM(G134*60%)</f>
        <v>238200000</v>
      </c>
      <c r="M134">
        <f t="shared" si="23"/>
        <v>128800000</v>
      </c>
      <c r="N134">
        <f t="shared" ref="N134:N145" si="27">SUM(G134-L134)</f>
        <v>158800000</v>
      </c>
    </row>
    <row r="135" spans="1:14" x14ac:dyDescent="0.4">
      <c r="A135">
        <v>105</v>
      </c>
      <c r="B135">
        <v>2103</v>
      </c>
      <c r="C135" t="s">
        <v>35</v>
      </c>
      <c r="F135" t="s">
        <v>36</v>
      </c>
      <c r="G135">
        <v>397000000</v>
      </c>
      <c r="H135">
        <v>580000000</v>
      </c>
      <c r="I135">
        <v>10000000</v>
      </c>
      <c r="J135">
        <v>20000000</v>
      </c>
      <c r="K135">
        <v>20000000</v>
      </c>
      <c r="L135">
        <f t="shared" si="26"/>
        <v>238200000</v>
      </c>
      <c r="M135">
        <f t="shared" si="23"/>
        <v>128800000</v>
      </c>
      <c r="N135">
        <f t="shared" si="27"/>
        <v>158800000</v>
      </c>
    </row>
    <row r="136" spans="1:14" x14ac:dyDescent="0.4">
      <c r="A136">
        <v>105</v>
      </c>
      <c r="B136">
        <v>2104</v>
      </c>
      <c r="C136" t="s">
        <v>35</v>
      </c>
      <c r="F136" t="s">
        <v>36</v>
      </c>
      <c r="G136">
        <v>397000000</v>
      </c>
      <c r="H136">
        <v>580000000</v>
      </c>
      <c r="I136">
        <v>10000000</v>
      </c>
      <c r="J136">
        <v>20000000</v>
      </c>
      <c r="K136">
        <v>20000000</v>
      </c>
      <c r="L136">
        <f t="shared" si="26"/>
        <v>238200000</v>
      </c>
      <c r="M136">
        <f t="shared" si="23"/>
        <v>128800000</v>
      </c>
      <c r="N136">
        <f t="shared" si="27"/>
        <v>158800000</v>
      </c>
    </row>
    <row r="137" spans="1:14" x14ac:dyDescent="0.4">
      <c r="A137">
        <v>105</v>
      </c>
      <c r="B137">
        <v>2201</v>
      </c>
      <c r="C137" t="s">
        <v>35</v>
      </c>
      <c r="F137" t="s">
        <v>36</v>
      </c>
      <c r="G137">
        <v>397000000</v>
      </c>
      <c r="H137">
        <v>580000000</v>
      </c>
      <c r="I137">
        <v>10000000</v>
      </c>
      <c r="J137">
        <v>20000000</v>
      </c>
      <c r="K137">
        <v>20000000</v>
      </c>
      <c r="L137">
        <f t="shared" si="26"/>
        <v>238200000</v>
      </c>
      <c r="M137">
        <f t="shared" si="23"/>
        <v>128800000</v>
      </c>
      <c r="N137">
        <f t="shared" si="27"/>
        <v>158800000</v>
      </c>
    </row>
    <row r="138" spans="1:14" x14ac:dyDescent="0.4">
      <c r="A138">
        <v>105</v>
      </c>
      <c r="B138">
        <v>2202</v>
      </c>
      <c r="C138" t="s">
        <v>35</v>
      </c>
      <c r="F138" t="s">
        <v>36</v>
      </c>
      <c r="G138">
        <v>397000000</v>
      </c>
      <c r="H138">
        <v>580000000</v>
      </c>
      <c r="I138">
        <v>10000000</v>
      </c>
      <c r="J138">
        <v>20000000</v>
      </c>
      <c r="K138">
        <v>20000000</v>
      </c>
      <c r="L138">
        <f t="shared" si="26"/>
        <v>238200000</v>
      </c>
      <c r="M138">
        <f t="shared" si="23"/>
        <v>128800000</v>
      </c>
      <c r="N138">
        <f t="shared" si="27"/>
        <v>158800000</v>
      </c>
    </row>
    <row r="139" spans="1:14" x14ac:dyDescent="0.4">
      <c r="A139">
        <v>105</v>
      </c>
      <c r="B139">
        <v>2203</v>
      </c>
      <c r="C139" t="s">
        <v>35</v>
      </c>
      <c r="F139" t="s">
        <v>36</v>
      </c>
      <c r="G139">
        <v>397000000</v>
      </c>
      <c r="H139">
        <v>580000000</v>
      </c>
      <c r="I139">
        <v>10000000</v>
      </c>
      <c r="J139">
        <v>20000000</v>
      </c>
      <c r="K139">
        <v>20000000</v>
      </c>
      <c r="L139">
        <f t="shared" si="26"/>
        <v>238200000</v>
      </c>
      <c r="M139">
        <f t="shared" si="23"/>
        <v>128800000</v>
      </c>
      <c r="N139">
        <f t="shared" si="27"/>
        <v>158800000</v>
      </c>
    </row>
    <row r="140" spans="1:14" x14ac:dyDescent="0.4">
      <c r="A140">
        <v>105</v>
      </c>
      <c r="B140">
        <v>2204</v>
      </c>
      <c r="C140" t="s">
        <v>35</v>
      </c>
      <c r="F140" t="s">
        <v>36</v>
      </c>
      <c r="G140">
        <v>397000000</v>
      </c>
      <c r="H140">
        <v>580000000</v>
      </c>
      <c r="I140">
        <v>10000000</v>
      </c>
      <c r="J140">
        <v>20000000</v>
      </c>
      <c r="K140">
        <v>20000000</v>
      </c>
      <c r="L140">
        <f t="shared" si="26"/>
        <v>238200000</v>
      </c>
      <c r="M140">
        <f t="shared" si="23"/>
        <v>128800000</v>
      </c>
      <c r="N140">
        <f t="shared" si="27"/>
        <v>158800000</v>
      </c>
    </row>
    <row r="141" spans="1:14" x14ac:dyDescent="0.4">
      <c r="A141">
        <v>105</v>
      </c>
      <c r="B141">
        <v>2301</v>
      </c>
      <c r="C141" t="s">
        <v>35</v>
      </c>
      <c r="F141" t="s">
        <v>36</v>
      </c>
      <c r="G141">
        <v>397000000</v>
      </c>
      <c r="H141">
        <v>580000000</v>
      </c>
      <c r="I141">
        <v>10000000</v>
      </c>
      <c r="J141">
        <v>20000000</v>
      </c>
      <c r="K141">
        <v>20000000</v>
      </c>
      <c r="L141">
        <f t="shared" si="26"/>
        <v>238200000</v>
      </c>
      <c r="M141">
        <f t="shared" si="23"/>
        <v>128800000</v>
      </c>
      <c r="N141">
        <f t="shared" si="27"/>
        <v>158800000</v>
      </c>
    </row>
    <row r="142" spans="1:14" x14ac:dyDescent="0.4">
      <c r="A142">
        <v>105</v>
      </c>
      <c r="B142">
        <v>2302</v>
      </c>
      <c r="C142" t="s">
        <v>35</v>
      </c>
      <c r="F142" t="s">
        <v>36</v>
      </c>
      <c r="G142">
        <v>397000000</v>
      </c>
      <c r="H142">
        <v>580000000</v>
      </c>
      <c r="I142">
        <v>10000000</v>
      </c>
      <c r="J142">
        <v>20000000</v>
      </c>
      <c r="K142">
        <v>20000000</v>
      </c>
      <c r="L142">
        <f t="shared" si="26"/>
        <v>238200000</v>
      </c>
      <c r="M142">
        <f t="shared" si="23"/>
        <v>128800000</v>
      </c>
      <c r="N142">
        <f t="shared" si="27"/>
        <v>158800000</v>
      </c>
    </row>
    <row r="143" spans="1:14" x14ac:dyDescent="0.4">
      <c r="A143">
        <v>105</v>
      </c>
      <c r="B143">
        <v>2303</v>
      </c>
      <c r="C143" t="s">
        <v>35</v>
      </c>
      <c r="F143" t="s">
        <v>36</v>
      </c>
      <c r="G143">
        <v>397000000</v>
      </c>
      <c r="H143">
        <v>580000000</v>
      </c>
      <c r="I143">
        <v>10000000</v>
      </c>
      <c r="J143">
        <v>20000000</v>
      </c>
      <c r="K143">
        <v>20000000</v>
      </c>
      <c r="L143">
        <f t="shared" si="26"/>
        <v>238200000</v>
      </c>
      <c r="M143">
        <f t="shared" si="23"/>
        <v>128800000</v>
      </c>
      <c r="N143">
        <f t="shared" si="27"/>
        <v>158800000</v>
      </c>
    </row>
    <row r="144" spans="1:14" x14ac:dyDescent="0.4">
      <c r="A144">
        <v>105</v>
      </c>
      <c r="B144">
        <v>2304</v>
      </c>
      <c r="C144" t="s">
        <v>35</v>
      </c>
      <c r="F144" t="s">
        <v>36</v>
      </c>
      <c r="G144">
        <v>397000000</v>
      </c>
      <c r="H144">
        <v>580000000</v>
      </c>
      <c r="I144">
        <v>10000000</v>
      </c>
      <c r="J144">
        <v>20000000</v>
      </c>
      <c r="K144">
        <v>20000000</v>
      </c>
      <c r="L144">
        <f t="shared" si="26"/>
        <v>238200000</v>
      </c>
      <c r="M144">
        <f t="shared" si="23"/>
        <v>128800000</v>
      </c>
      <c r="N144">
        <f t="shared" si="27"/>
        <v>158800000</v>
      </c>
    </row>
    <row r="145" spans="1:14" x14ac:dyDescent="0.4">
      <c r="A145">
        <v>105</v>
      </c>
      <c r="B145">
        <v>2401</v>
      </c>
      <c r="C145" t="s">
        <v>35</v>
      </c>
      <c r="F145" t="s">
        <v>36</v>
      </c>
      <c r="G145">
        <v>397000000</v>
      </c>
      <c r="H145">
        <v>595000000</v>
      </c>
      <c r="I145">
        <v>10000000</v>
      </c>
      <c r="J145">
        <v>20000000</v>
      </c>
      <c r="K145">
        <v>20000000</v>
      </c>
      <c r="L145">
        <f t="shared" si="26"/>
        <v>238200000</v>
      </c>
      <c r="M145">
        <f t="shared" si="23"/>
        <v>128800000</v>
      </c>
      <c r="N145">
        <f t="shared" si="27"/>
        <v>158800000</v>
      </c>
    </row>
    <row r="146" spans="1:14" x14ac:dyDescent="0.4">
      <c r="A146">
        <v>105</v>
      </c>
      <c r="B146">
        <v>2402</v>
      </c>
      <c r="C146" t="s">
        <v>35</v>
      </c>
      <c r="F146" t="s">
        <v>36</v>
      </c>
      <c r="G146">
        <v>397000000</v>
      </c>
      <c r="H146">
        <v>595000000</v>
      </c>
      <c r="I146">
        <v>10000000</v>
      </c>
      <c r="J146">
        <v>20000000</v>
      </c>
      <c r="K146">
        <v>20000000</v>
      </c>
      <c r="L146">
        <f t="shared" ref="L146:L148" si="28">SUM(G146*60%)</f>
        <v>238200000</v>
      </c>
      <c r="M146">
        <f t="shared" si="23"/>
        <v>128800000</v>
      </c>
      <c r="N146">
        <f t="shared" ref="N146:N148" si="29">SUM(G146-L146)</f>
        <v>158800000</v>
      </c>
    </row>
    <row r="147" spans="1:14" x14ac:dyDescent="0.4">
      <c r="A147">
        <v>105</v>
      </c>
      <c r="B147">
        <v>2403</v>
      </c>
      <c r="C147" t="s">
        <v>35</v>
      </c>
      <c r="F147" t="s">
        <v>36</v>
      </c>
      <c r="G147">
        <v>397000000</v>
      </c>
      <c r="H147">
        <v>595000000</v>
      </c>
      <c r="I147">
        <v>10000000</v>
      </c>
      <c r="J147">
        <v>20000000</v>
      </c>
      <c r="K147">
        <v>20000000</v>
      </c>
      <c r="L147">
        <f t="shared" si="28"/>
        <v>238200000</v>
      </c>
      <c r="M147">
        <f t="shared" si="23"/>
        <v>128800000</v>
      </c>
      <c r="N147">
        <f t="shared" si="29"/>
        <v>158800000</v>
      </c>
    </row>
    <row r="148" spans="1:14" x14ac:dyDescent="0.4">
      <c r="A148">
        <v>105</v>
      </c>
      <c r="B148">
        <v>2404</v>
      </c>
      <c r="C148" t="s">
        <v>35</v>
      </c>
      <c r="F148" t="s">
        <v>36</v>
      </c>
      <c r="G148">
        <v>397000000</v>
      </c>
      <c r="H148">
        <v>595000000</v>
      </c>
      <c r="I148">
        <v>10000000</v>
      </c>
      <c r="J148">
        <v>20000000</v>
      </c>
      <c r="K148">
        <v>20000000</v>
      </c>
      <c r="L148">
        <f t="shared" si="28"/>
        <v>238200000</v>
      </c>
      <c r="M148">
        <f t="shared" si="23"/>
        <v>128800000</v>
      </c>
      <c r="N148">
        <f t="shared" si="29"/>
        <v>158800000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9" sqref="F9"/>
    </sheetView>
  </sheetViews>
  <sheetFormatPr defaultRowHeight="17.399999999999999" x14ac:dyDescent="0.4"/>
  <cols>
    <col min="5" max="5" width="17.09765625" bestFit="1" customWidth="1"/>
    <col min="6" max="6" width="14.3984375" bestFit="1" customWidth="1"/>
    <col min="7" max="7" width="12.09765625" bestFit="1" customWidth="1"/>
    <col min="8" max="8" width="11" bestFit="1" customWidth="1"/>
  </cols>
  <sheetData>
    <row r="1" spans="1:4" x14ac:dyDescent="0.4">
      <c r="A1" t="s">
        <v>19</v>
      </c>
      <c r="B1" t="s">
        <v>20</v>
      </c>
      <c r="C1" t="s">
        <v>21</v>
      </c>
      <c r="D1" t="s">
        <v>22</v>
      </c>
    </row>
    <row r="2" spans="1:4" x14ac:dyDescent="0.4">
      <c r="A2">
        <v>101</v>
      </c>
      <c r="B2">
        <v>1</v>
      </c>
      <c r="C2">
        <v>15</v>
      </c>
      <c r="D2" t="s">
        <v>32</v>
      </c>
    </row>
    <row r="3" spans="1:4" x14ac:dyDescent="0.4">
      <c r="A3">
        <v>102</v>
      </c>
      <c r="B3">
        <v>1</v>
      </c>
      <c r="C3">
        <v>19</v>
      </c>
      <c r="D3" t="s">
        <v>33</v>
      </c>
    </row>
    <row r="4" spans="1:4" x14ac:dyDescent="0.4">
      <c r="A4">
        <v>103</v>
      </c>
      <c r="B4">
        <v>1</v>
      </c>
      <c r="C4">
        <v>26</v>
      </c>
      <c r="D4" t="s">
        <v>34</v>
      </c>
    </row>
    <row r="5" spans="1:4" x14ac:dyDescent="0.4">
      <c r="A5">
        <v>104</v>
      </c>
      <c r="B5">
        <v>1</v>
      </c>
      <c r="C5">
        <v>26</v>
      </c>
      <c r="D5" t="s">
        <v>33</v>
      </c>
    </row>
    <row r="6" spans="1:4" x14ac:dyDescent="0.4">
      <c r="A6">
        <v>105</v>
      </c>
      <c r="B6">
        <v>1</v>
      </c>
      <c r="C6">
        <v>24</v>
      </c>
      <c r="D6" t="s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21" sqref="D21"/>
    </sheetView>
  </sheetViews>
  <sheetFormatPr defaultRowHeight="17.399999999999999" x14ac:dyDescent="0.4"/>
  <cols>
    <col min="4" max="4" width="59.19921875" bestFit="1" customWidth="1"/>
  </cols>
  <sheetData>
    <row r="1" spans="1:4" x14ac:dyDescent="0.4">
      <c r="A1" t="s">
        <v>23</v>
      </c>
      <c r="B1" t="s">
        <v>24</v>
      </c>
      <c r="C1" t="s">
        <v>25</v>
      </c>
      <c r="D1" t="s">
        <v>26</v>
      </c>
    </row>
    <row r="2" spans="1:4" x14ac:dyDescent="0.4">
      <c r="A2">
        <v>101</v>
      </c>
      <c r="B2">
        <v>103</v>
      </c>
      <c r="C2" t="s">
        <v>27</v>
      </c>
      <c r="D2" t="s">
        <v>28</v>
      </c>
    </row>
    <row r="3" spans="1:4" x14ac:dyDescent="0.4">
      <c r="A3">
        <v>105</v>
      </c>
      <c r="B3">
        <v>102</v>
      </c>
      <c r="C3" t="s">
        <v>27</v>
      </c>
      <c r="D3" t="s">
        <v>29</v>
      </c>
    </row>
    <row r="4" spans="1:4" x14ac:dyDescent="0.4">
      <c r="A4">
        <v>105</v>
      </c>
      <c r="B4">
        <v>202</v>
      </c>
      <c r="C4" t="s">
        <v>27</v>
      </c>
      <c r="D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unit_rules</vt:lpstr>
      <vt:lpstr>dong_meta</vt:lpstr>
      <vt:lpstr>unit_exceptions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by</dc:creator>
  <cp:lastModifiedBy>ny by</cp:lastModifiedBy>
  <dcterms:created xsi:type="dcterms:W3CDTF">2026-04-18T00:42:58Z</dcterms:created>
  <dcterms:modified xsi:type="dcterms:W3CDTF">2026-04-18T12:28:43Z</dcterms:modified>
</cp:coreProperties>
</file>